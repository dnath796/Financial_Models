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epikanath/dnath796/Financial_Models/"/>
    </mc:Choice>
  </mc:AlternateContent>
  <xr:revisionPtr revIDLastSave="0" documentId="13_ncr:1_{9E3069E9-7686-2244-BB1F-C2EF1AB099D5}" xr6:coauthVersionLast="47" xr6:coauthVersionMax="47" xr10:uidLastSave="{00000000-0000-0000-0000-000000000000}"/>
  <bookViews>
    <workbookView xWindow="1600" yWindow="1100" windowWidth="26820" windowHeight="16160" xr2:uid="{47A97B48-ECD2-5948-8BCD-E1BA51C1A1D4}"/>
  </bookViews>
  <sheets>
    <sheet name="Regres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L2" i="1"/>
  <c r="E3" i="1" s="1"/>
  <c r="F3" i="1" s="1"/>
  <c r="I3" i="1"/>
  <c r="L3" i="1"/>
  <c r="I4" i="1"/>
  <c r="I5" i="1"/>
  <c r="L5" i="1"/>
  <c r="I6" i="1"/>
  <c r="L6" i="1"/>
  <c r="L8" i="1" s="1"/>
  <c r="E7" i="1"/>
  <c r="F7" i="1" s="1"/>
  <c r="I7" i="1"/>
  <c r="I8" i="1"/>
  <c r="E9" i="1"/>
  <c r="F9" i="1" s="1"/>
  <c r="I9" i="1"/>
  <c r="E10" i="1"/>
  <c r="F10" i="1" s="1"/>
  <c r="I10" i="1"/>
  <c r="I11" i="1"/>
  <c r="L11" i="1"/>
  <c r="L22" i="1" s="1"/>
  <c r="I12" i="1"/>
  <c r="I13" i="1"/>
  <c r="E14" i="1"/>
  <c r="F14" i="1" s="1"/>
  <c r="I14" i="1"/>
  <c r="I15" i="1"/>
  <c r="E16" i="1"/>
  <c r="F16" i="1" s="1"/>
  <c r="I16" i="1"/>
  <c r="I17" i="1"/>
  <c r="I18" i="1"/>
  <c r="I19" i="1"/>
  <c r="E20" i="1"/>
  <c r="F20" i="1" s="1"/>
  <c r="I20" i="1"/>
  <c r="E21" i="1"/>
  <c r="F21" i="1" s="1"/>
  <c r="I21" i="1"/>
  <c r="I22" i="1"/>
  <c r="I23" i="1"/>
  <c r="I24" i="1"/>
  <c r="E25" i="1"/>
  <c r="F25" i="1" s="1"/>
  <c r="I25" i="1"/>
  <c r="I26" i="1"/>
  <c r="I27" i="1"/>
  <c r="E28" i="1"/>
  <c r="F28" i="1" s="1"/>
  <c r="I28" i="1"/>
  <c r="E29" i="1"/>
  <c r="F29" i="1" s="1"/>
  <c r="I29" i="1"/>
  <c r="I30" i="1"/>
  <c r="E31" i="1"/>
  <c r="F31" i="1" s="1"/>
  <c r="I31" i="1"/>
  <c r="I32" i="1"/>
  <c r="I33" i="1"/>
  <c r="E34" i="1"/>
  <c r="F34" i="1" s="1"/>
  <c r="I34" i="1"/>
  <c r="I35" i="1"/>
  <c r="E36" i="1"/>
  <c r="F36" i="1" s="1"/>
  <c r="I36" i="1"/>
  <c r="E37" i="1"/>
  <c r="F37" i="1" s="1"/>
  <c r="I37" i="1"/>
  <c r="I38" i="1"/>
  <c r="E39" i="1"/>
  <c r="F39" i="1" s="1"/>
  <c r="I39" i="1"/>
  <c r="E40" i="1"/>
  <c r="F40" i="1" s="1"/>
  <c r="I40" i="1"/>
  <c r="I41" i="1"/>
  <c r="E42" i="1"/>
  <c r="F42" i="1" s="1"/>
  <c r="I42" i="1"/>
  <c r="E43" i="1"/>
  <c r="F43" i="1" s="1"/>
  <c r="I43" i="1"/>
  <c r="E44" i="1"/>
  <c r="F44" i="1" s="1"/>
  <c r="I44" i="1"/>
  <c r="E45" i="1"/>
  <c r="F45" i="1" s="1"/>
  <c r="I45" i="1"/>
  <c r="E46" i="1"/>
  <c r="F46" i="1" s="1"/>
  <c r="I46" i="1"/>
  <c r="E47" i="1"/>
  <c r="F47" i="1" s="1"/>
  <c r="I47" i="1"/>
  <c r="E48" i="1"/>
  <c r="F48" i="1"/>
  <c r="I48" i="1"/>
  <c r="E49" i="1"/>
  <c r="F49" i="1" s="1"/>
  <c r="I49" i="1"/>
  <c r="I50" i="1"/>
  <c r="E51" i="1"/>
  <c r="F51" i="1"/>
  <c r="I51" i="1"/>
  <c r="E52" i="1"/>
  <c r="F52" i="1"/>
  <c r="I52" i="1"/>
  <c r="I53" i="1"/>
  <c r="E54" i="1"/>
  <c r="F54" i="1" s="1"/>
  <c r="I54" i="1"/>
  <c r="E55" i="1"/>
  <c r="F55" i="1"/>
  <c r="I55" i="1"/>
  <c r="I56" i="1"/>
  <c r="E57" i="1"/>
  <c r="F57" i="1" s="1"/>
  <c r="I57" i="1"/>
  <c r="E58" i="1"/>
  <c r="F58" i="1"/>
  <c r="I58" i="1"/>
  <c r="I59" i="1"/>
  <c r="E60" i="1"/>
  <c r="F60" i="1" s="1"/>
  <c r="I60" i="1"/>
  <c r="E61" i="1"/>
  <c r="F61" i="1" s="1"/>
  <c r="I61" i="1"/>
  <c r="I62" i="1"/>
  <c r="E63" i="1"/>
  <c r="F63" i="1"/>
  <c r="I63" i="1"/>
  <c r="I64" i="1"/>
  <c r="I65" i="1"/>
  <c r="E66" i="1"/>
  <c r="F66" i="1"/>
  <c r="I66" i="1"/>
  <c r="I67" i="1"/>
  <c r="I68" i="1"/>
  <c r="E69" i="1"/>
  <c r="F69" i="1" s="1"/>
  <c r="I69" i="1"/>
  <c r="E70" i="1"/>
  <c r="F70" i="1" s="1"/>
  <c r="I70" i="1"/>
  <c r="E71" i="1"/>
  <c r="F71" i="1" s="1"/>
  <c r="I71" i="1"/>
  <c r="E72" i="1"/>
  <c r="F72" i="1"/>
  <c r="I72" i="1"/>
  <c r="E73" i="1"/>
  <c r="F73" i="1" s="1"/>
  <c r="I73" i="1"/>
  <c r="E74" i="1"/>
  <c r="F74" i="1" s="1"/>
  <c r="I74" i="1"/>
  <c r="I75" i="1"/>
  <c r="E76" i="1"/>
  <c r="F76" i="1" s="1"/>
  <c r="I76" i="1"/>
  <c r="E77" i="1"/>
  <c r="F77" i="1" s="1"/>
  <c r="I77" i="1"/>
  <c r="E78" i="1"/>
  <c r="F78" i="1" s="1"/>
  <c r="I78" i="1"/>
  <c r="E79" i="1"/>
  <c r="F79" i="1" s="1"/>
  <c r="I79" i="1"/>
  <c r="E80" i="1"/>
  <c r="F80" i="1"/>
  <c r="I80" i="1"/>
  <c r="E81" i="1"/>
  <c r="F81" i="1" s="1"/>
  <c r="I81" i="1"/>
  <c r="E82" i="1"/>
  <c r="F82" i="1" s="1"/>
  <c r="I82" i="1"/>
  <c r="E83" i="1"/>
  <c r="F83" i="1" s="1"/>
  <c r="I83" i="1"/>
  <c r="E84" i="1"/>
  <c r="F84" i="1" s="1"/>
  <c r="I84" i="1"/>
  <c r="E85" i="1"/>
  <c r="F85" i="1" s="1"/>
  <c r="I85" i="1"/>
  <c r="E86" i="1"/>
  <c r="F86" i="1" s="1"/>
  <c r="I86" i="1"/>
  <c r="E87" i="1"/>
  <c r="F87" i="1" s="1"/>
  <c r="I87" i="1"/>
  <c r="I88" i="1"/>
  <c r="E89" i="1"/>
  <c r="F89" i="1" s="1"/>
  <c r="I89" i="1"/>
  <c r="E90" i="1"/>
  <c r="F90" i="1" s="1"/>
  <c r="I90" i="1"/>
  <c r="I91" i="1"/>
  <c r="I92" i="1"/>
  <c r="E93" i="1"/>
  <c r="F93" i="1" s="1"/>
  <c r="I93" i="1"/>
  <c r="I94" i="1"/>
  <c r="E95" i="1"/>
  <c r="F95" i="1" s="1"/>
  <c r="I95" i="1"/>
  <c r="E96" i="1"/>
  <c r="F96" i="1" s="1"/>
  <c r="I96" i="1"/>
  <c r="I97" i="1"/>
  <c r="E98" i="1"/>
  <c r="F98" i="1" s="1"/>
  <c r="I98" i="1"/>
  <c r="E99" i="1"/>
  <c r="F99" i="1" s="1"/>
  <c r="I99" i="1"/>
  <c r="E100" i="1"/>
  <c r="F100" i="1" s="1"/>
  <c r="I100" i="1"/>
  <c r="E101" i="1"/>
  <c r="F101" i="1" s="1"/>
  <c r="I101" i="1"/>
  <c r="E102" i="1"/>
  <c r="F102" i="1" s="1"/>
  <c r="I102" i="1"/>
  <c r="E103" i="1"/>
  <c r="F103" i="1" s="1"/>
  <c r="I103" i="1"/>
  <c r="E104" i="1"/>
  <c r="F104" i="1" s="1"/>
  <c r="I104" i="1"/>
  <c r="E105" i="1"/>
  <c r="F105" i="1" s="1"/>
  <c r="I105" i="1"/>
  <c r="E106" i="1"/>
  <c r="F106" i="1" s="1"/>
  <c r="I106" i="1"/>
  <c r="E107" i="1"/>
  <c r="F107" i="1" s="1"/>
  <c r="I107" i="1"/>
  <c r="E108" i="1"/>
  <c r="F108" i="1" s="1"/>
  <c r="I108" i="1"/>
  <c r="E109" i="1"/>
  <c r="F109" i="1" s="1"/>
  <c r="I109" i="1"/>
  <c r="E110" i="1"/>
  <c r="F110" i="1"/>
  <c r="I110" i="1"/>
  <c r="E111" i="1"/>
  <c r="F111" i="1" s="1"/>
  <c r="I111" i="1"/>
  <c r="E112" i="1"/>
  <c r="F112" i="1" s="1"/>
  <c r="I112" i="1"/>
  <c r="E113" i="1"/>
  <c r="F113" i="1" s="1"/>
  <c r="I113" i="1"/>
  <c r="E114" i="1"/>
  <c r="F114" i="1" s="1"/>
  <c r="I114" i="1"/>
  <c r="E115" i="1"/>
  <c r="F115" i="1" s="1"/>
  <c r="I115" i="1"/>
  <c r="E116" i="1"/>
  <c r="F116" i="1" s="1"/>
  <c r="I116" i="1"/>
  <c r="E117" i="1"/>
  <c r="F117" i="1"/>
  <c r="I117" i="1"/>
  <c r="E118" i="1"/>
  <c r="F118" i="1" s="1"/>
  <c r="I118" i="1"/>
  <c r="E119" i="1"/>
  <c r="F119" i="1" s="1"/>
  <c r="I119" i="1"/>
  <c r="E120" i="1"/>
  <c r="F120" i="1" s="1"/>
  <c r="I120" i="1"/>
  <c r="E121" i="1"/>
  <c r="F121" i="1" s="1"/>
  <c r="I121" i="1"/>
  <c r="E122" i="1"/>
  <c r="F122" i="1" s="1"/>
  <c r="I122" i="1"/>
  <c r="E123" i="1"/>
  <c r="F123" i="1"/>
  <c r="I123" i="1"/>
  <c r="E124" i="1"/>
  <c r="F124" i="1" s="1"/>
  <c r="I124" i="1"/>
  <c r="E125" i="1"/>
  <c r="F125" i="1" s="1"/>
  <c r="I125" i="1"/>
  <c r="E126" i="1"/>
  <c r="F126" i="1" s="1"/>
  <c r="I126" i="1"/>
  <c r="E127" i="1"/>
  <c r="F127" i="1"/>
  <c r="I127" i="1"/>
  <c r="E128" i="1"/>
  <c r="F128" i="1" s="1"/>
  <c r="I128" i="1"/>
  <c r="E129" i="1"/>
  <c r="F129" i="1"/>
  <c r="I129" i="1"/>
  <c r="E130" i="1"/>
  <c r="F130" i="1" s="1"/>
  <c r="I130" i="1"/>
  <c r="I131" i="1"/>
  <c r="E132" i="1"/>
  <c r="F132" i="1"/>
  <c r="I132" i="1"/>
  <c r="E133" i="1"/>
  <c r="F133" i="1" s="1"/>
  <c r="I133" i="1"/>
  <c r="E134" i="1"/>
  <c r="F134" i="1" s="1"/>
  <c r="I134" i="1"/>
  <c r="E135" i="1"/>
  <c r="F135" i="1" s="1"/>
  <c r="I135" i="1"/>
  <c r="E136" i="1"/>
  <c r="F136" i="1"/>
  <c r="I136" i="1"/>
  <c r="E137" i="1"/>
  <c r="F137" i="1" s="1"/>
  <c r="I137" i="1"/>
  <c r="E138" i="1"/>
  <c r="F138" i="1" s="1"/>
  <c r="I138" i="1"/>
  <c r="E139" i="1"/>
  <c r="F139" i="1" s="1"/>
  <c r="I139" i="1"/>
  <c r="E140" i="1"/>
  <c r="F140" i="1" s="1"/>
  <c r="I140" i="1"/>
  <c r="E141" i="1"/>
  <c r="F141" i="1"/>
  <c r="I141" i="1"/>
  <c r="E142" i="1"/>
  <c r="F142" i="1" s="1"/>
  <c r="I142" i="1"/>
  <c r="E143" i="1"/>
  <c r="F143" i="1" s="1"/>
  <c r="I143" i="1"/>
  <c r="E144" i="1"/>
  <c r="F144" i="1"/>
  <c r="I144" i="1"/>
  <c r="E145" i="1"/>
  <c r="F145" i="1" s="1"/>
  <c r="I145" i="1"/>
  <c r="E146" i="1"/>
  <c r="F146" i="1" s="1"/>
  <c r="I146" i="1"/>
  <c r="E147" i="1"/>
  <c r="F147" i="1"/>
  <c r="I147" i="1"/>
  <c r="E148" i="1"/>
  <c r="F148" i="1" s="1"/>
  <c r="I148" i="1"/>
  <c r="E149" i="1"/>
  <c r="F149" i="1" s="1"/>
  <c r="I149" i="1"/>
  <c r="E150" i="1"/>
  <c r="F150" i="1" s="1"/>
  <c r="I150" i="1"/>
  <c r="E151" i="1"/>
  <c r="F151" i="1" s="1"/>
  <c r="I151" i="1"/>
  <c r="E152" i="1"/>
  <c r="F152" i="1" s="1"/>
  <c r="I152" i="1"/>
  <c r="E153" i="1"/>
  <c r="F153" i="1" s="1"/>
  <c r="I153" i="1"/>
  <c r="E154" i="1"/>
  <c r="F154" i="1"/>
  <c r="I154" i="1"/>
  <c r="E155" i="1"/>
  <c r="F155" i="1" s="1"/>
  <c r="I155" i="1"/>
  <c r="E156" i="1"/>
  <c r="F156" i="1" s="1"/>
  <c r="I156" i="1"/>
  <c r="E157" i="1"/>
  <c r="F157" i="1" s="1"/>
  <c r="I157" i="1"/>
  <c r="E158" i="1"/>
  <c r="F158" i="1"/>
  <c r="I158" i="1"/>
  <c r="E159" i="1"/>
  <c r="F159" i="1" s="1"/>
  <c r="I159" i="1"/>
  <c r="E160" i="1"/>
  <c r="F160" i="1" s="1"/>
  <c r="I160" i="1"/>
  <c r="E161" i="1"/>
  <c r="F161" i="1"/>
  <c r="I161" i="1"/>
  <c r="E162" i="1"/>
  <c r="F162" i="1"/>
  <c r="I162" i="1"/>
  <c r="E163" i="1"/>
  <c r="F163" i="1" s="1"/>
  <c r="I163" i="1"/>
  <c r="E164" i="1"/>
  <c r="F164" i="1"/>
  <c r="I164" i="1"/>
  <c r="E165" i="1"/>
  <c r="F165" i="1"/>
  <c r="I165" i="1"/>
  <c r="E166" i="1"/>
  <c r="F166" i="1" s="1"/>
  <c r="I166" i="1"/>
  <c r="E167" i="1"/>
  <c r="F167" i="1" s="1"/>
  <c r="I167" i="1"/>
  <c r="E168" i="1"/>
  <c r="F168" i="1" s="1"/>
  <c r="I168" i="1"/>
  <c r="E169" i="1"/>
  <c r="F169" i="1"/>
  <c r="I169" i="1"/>
  <c r="E170" i="1"/>
  <c r="F170" i="1"/>
  <c r="I170" i="1"/>
  <c r="E171" i="1"/>
  <c r="F171" i="1" s="1"/>
  <c r="I171" i="1"/>
  <c r="E172" i="1"/>
  <c r="F172" i="1"/>
  <c r="I172" i="1"/>
  <c r="E173" i="1"/>
  <c r="F173" i="1"/>
  <c r="I173" i="1"/>
  <c r="E174" i="1"/>
  <c r="F174" i="1" s="1"/>
  <c r="I174" i="1"/>
  <c r="E175" i="1"/>
  <c r="F175" i="1" s="1"/>
  <c r="I175" i="1"/>
  <c r="E176" i="1"/>
  <c r="F176" i="1"/>
  <c r="I176" i="1"/>
  <c r="E177" i="1"/>
  <c r="F177" i="1" s="1"/>
  <c r="I177" i="1"/>
  <c r="E178" i="1"/>
  <c r="F178" i="1" s="1"/>
  <c r="I178" i="1"/>
  <c r="E179" i="1"/>
  <c r="F179" i="1" s="1"/>
  <c r="I179" i="1"/>
  <c r="E180" i="1"/>
  <c r="F180" i="1" s="1"/>
  <c r="I180" i="1"/>
  <c r="E181" i="1"/>
  <c r="F181" i="1" s="1"/>
  <c r="I181" i="1"/>
  <c r="E182" i="1"/>
  <c r="F182" i="1"/>
  <c r="I182" i="1"/>
  <c r="D87" i="1" l="1"/>
  <c r="G87" i="1" s="1"/>
  <c r="H87" i="1" s="1"/>
  <c r="D143" i="1"/>
  <c r="G143" i="1" s="1"/>
  <c r="H143" i="1" s="1"/>
  <c r="D128" i="1"/>
  <c r="G128" i="1" s="1"/>
  <c r="H128" i="1" s="1"/>
  <c r="D134" i="1"/>
  <c r="G134" i="1" s="1"/>
  <c r="H134" i="1" s="1"/>
  <c r="E131" i="1"/>
  <c r="F131" i="1" s="1"/>
  <c r="E92" i="1"/>
  <c r="F92" i="1" s="1"/>
  <c r="E75" i="1"/>
  <c r="F75" i="1" s="1"/>
  <c r="E68" i="1"/>
  <c r="F68" i="1" s="1"/>
  <c r="E53" i="1"/>
  <c r="F53" i="1" s="1"/>
  <c r="E50" i="1"/>
  <c r="F50" i="1" s="1"/>
  <c r="E26" i="1"/>
  <c r="F26" i="1" s="1"/>
  <c r="E22" i="1"/>
  <c r="F22" i="1" s="1"/>
  <c r="E17" i="1"/>
  <c r="F17" i="1" s="1"/>
  <c r="E13" i="1"/>
  <c r="F13" i="1" s="1"/>
  <c r="L9" i="1"/>
  <c r="D18" i="1" s="1"/>
  <c r="G18" i="1" s="1"/>
  <c r="H18" i="1" s="1"/>
  <c r="L23" i="1"/>
  <c r="D175" i="1"/>
  <c r="G175" i="1" s="1"/>
  <c r="H175" i="1" s="1"/>
  <c r="D164" i="1"/>
  <c r="G164" i="1" s="1"/>
  <c r="H164" i="1" s="1"/>
  <c r="D155" i="1"/>
  <c r="G155" i="1" s="1"/>
  <c r="H155" i="1" s="1"/>
  <c r="D77" i="1"/>
  <c r="G77" i="1" s="1"/>
  <c r="H77" i="1" s="1"/>
  <c r="D57" i="1"/>
  <c r="G57" i="1" s="1"/>
  <c r="H57" i="1" s="1"/>
  <c r="D172" i="1"/>
  <c r="G172" i="1" s="1"/>
  <c r="H172" i="1" s="1"/>
  <c r="D151" i="1"/>
  <c r="G151" i="1" s="1"/>
  <c r="H151" i="1" s="1"/>
  <c r="D32" i="1"/>
  <c r="G32" i="1" s="1"/>
  <c r="H32" i="1" s="1"/>
  <c r="D36" i="1"/>
  <c r="G36" i="1" s="1"/>
  <c r="H36" i="1" s="1"/>
  <c r="D40" i="1"/>
  <c r="G40" i="1" s="1"/>
  <c r="H40" i="1" s="1"/>
  <c r="D44" i="1"/>
  <c r="G44" i="1" s="1"/>
  <c r="H44" i="1" s="1"/>
  <c r="D64" i="1"/>
  <c r="G64" i="1" s="1"/>
  <c r="H64" i="1" s="1"/>
  <c r="D96" i="1"/>
  <c r="G96" i="1" s="1"/>
  <c r="H96" i="1" s="1"/>
  <c r="D100" i="1"/>
  <c r="G100" i="1" s="1"/>
  <c r="H100" i="1" s="1"/>
  <c r="D104" i="1"/>
  <c r="G104" i="1" s="1"/>
  <c r="H104" i="1" s="1"/>
  <c r="D108" i="1"/>
  <c r="G108" i="1" s="1"/>
  <c r="H108" i="1" s="1"/>
  <c r="D16" i="1"/>
  <c r="G16" i="1" s="1"/>
  <c r="H16" i="1" s="1"/>
  <c r="D111" i="1"/>
  <c r="G111" i="1" s="1"/>
  <c r="H111" i="1" s="1"/>
  <c r="D114" i="1"/>
  <c r="G114" i="1" s="1"/>
  <c r="H114" i="1" s="1"/>
  <c r="D117" i="1"/>
  <c r="G117" i="1" s="1"/>
  <c r="H117" i="1" s="1"/>
  <c r="D121" i="1"/>
  <c r="G121" i="1" s="1"/>
  <c r="H121" i="1" s="1"/>
  <c r="D141" i="1"/>
  <c r="G141" i="1" s="1"/>
  <c r="H141" i="1" s="1"/>
  <c r="D61" i="1"/>
  <c r="G61" i="1" s="1"/>
  <c r="H61" i="1" s="1"/>
  <c r="D8" i="1"/>
  <c r="G8" i="1" s="1"/>
  <c r="H8" i="1" s="1"/>
  <c r="D142" i="1"/>
  <c r="G142" i="1" s="1"/>
  <c r="H142" i="1" s="1"/>
  <c r="D139" i="1"/>
  <c r="G139" i="1" s="1"/>
  <c r="H139" i="1" s="1"/>
  <c r="D78" i="1"/>
  <c r="G78" i="1" s="1"/>
  <c r="H78" i="1" s="1"/>
  <c r="D15" i="1"/>
  <c r="G15" i="1" s="1"/>
  <c r="H15" i="1" s="1"/>
  <c r="D177" i="1"/>
  <c r="G177" i="1" s="1"/>
  <c r="H177" i="1" s="1"/>
  <c r="D173" i="1"/>
  <c r="G173" i="1" s="1"/>
  <c r="H173" i="1" s="1"/>
  <c r="D169" i="1"/>
  <c r="G169" i="1" s="1"/>
  <c r="H169" i="1" s="1"/>
  <c r="D135" i="1"/>
  <c r="G135" i="1" s="1"/>
  <c r="H135" i="1" s="1"/>
  <c r="D181" i="1"/>
  <c r="G181" i="1" s="1"/>
  <c r="H181" i="1" s="1"/>
  <c r="D150" i="1"/>
  <c r="G150" i="1" s="1"/>
  <c r="H150" i="1" s="1"/>
  <c r="D147" i="1"/>
  <c r="G147" i="1" s="1"/>
  <c r="H147" i="1" s="1"/>
  <c r="D144" i="1"/>
  <c r="G144" i="1" s="1"/>
  <c r="H144" i="1" s="1"/>
  <c r="D86" i="1"/>
  <c r="G86" i="1" s="1"/>
  <c r="H86" i="1" s="1"/>
  <c r="D6" i="1"/>
  <c r="G6" i="1" s="1"/>
  <c r="H6" i="1" s="1"/>
  <c r="D153" i="1"/>
  <c r="G153" i="1" s="1"/>
  <c r="H153" i="1" s="1"/>
  <c r="D182" i="1"/>
  <c r="G182" i="1" s="1"/>
  <c r="H182" i="1" s="1"/>
  <c r="D178" i="1"/>
  <c r="G178" i="1" s="1"/>
  <c r="H178" i="1" s="1"/>
  <c r="D158" i="1"/>
  <c r="G158" i="1" s="1"/>
  <c r="H158" i="1" s="1"/>
  <c r="D73" i="1"/>
  <c r="G73" i="1" s="1"/>
  <c r="H73" i="1" s="1"/>
  <c r="D66" i="1"/>
  <c r="G66" i="1" s="1"/>
  <c r="H66" i="1" s="1"/>
  <c r="D39" i="1"/>
  <c r="G39" i="1" s="1"/>
  <c r="H39" i="1" s="1"/>
  <c r="D22" i="1"/>
  <c r="G22" i="1" s="1"/>
  <c r="H22" i="1" s="1"/>
  <c r="E67" i="1"/>
  <c r="F67" i="1" s="1"/>
  <c r="E64" i="1"/>
  <c r="F64" i="1" s="1"/>
  <c r="E41" i="1"/>
  <c r="F41" i="1" s="1"/>
  <c r="E38" i="1"/>
  <c r="F38" i="1" s="1"/>
  <c r="E35" i="1"/>
  <c r="F35" i="1" s="1"/>
  <c r="E32" i="1"/>
  <c r="F32" i="1" s="1"/>
  <c r="E23" i="1"/>
  <c r="F23" i="1" s="1"/>
  <c r="E19" i="1"/>
  <c r="F19" i="1" s="1"/>
  <c r="E15" i="1"/>
  <c r="F15" i="1" s="1"/>
  <c r="E11" i="1"/>
  <c r="F11" i="1" s="1"/>
  <c r="E2" i="1"/>
  <c r="F2" i="1" s="1"/>
  <c r="E6" i="1"/>
  <c r="F6" i="1" s="1"/>
  <c r="E12" i="1"/>
  <c r="F12" i="1" s="1"/>
  <c r="E18" i="1"/>
  <c r="F18" i="1" s="1"/>
  <c r="E4" i="1"/>
  <c r="F4" i="1" s="1"/>
  <c r="E97" i="1"/>
  <c r="F97" i="1" s="1"/>
  <c r="E94" i="1"/>
  <c r="F94" i="1" s="1"/>
  <c r="E91" i="1"/>
  <c r="F91" i="1" s="1"/>
  <c r="E88" i="1"/>
  <c r="F88" i="1" s="1"/>
  <c r="E65" i="1"/>
  <c r="F65" i="1" s="1"/>
  <c r="E62" i="1"/>
  <c r="F62" i="1" s="1"/>
  <c r="E59" i="1"/>
  <c r="F59" i="1" s="1"/>
  <c r="E56" i="1"/>
  <c r="F56" i="1" s="1"/>
  <c r="E33" i="1"/>
  <c r="F33" i="1" s="1"/>
  <c r="E30" i="1"/>
  <c r="F30" i="1" s="1"/>
  <c r="E27" i="1"/>
  <c r="F27" i="1" s="1"/>
  <c r="E24" i="1"/>
  <c r="F24" i="1" s="1"/>
  <c r="E8" i="1"/>
  <c r="F8" i="1" s="1"/>
  <c r="E5" i="1"/>
  <c r="F5" i="1" s="1"/>
  <c r="D95" i="1" l="1"/>
  <c r="G95" i="1" s="1"/>
  <c r="H95" i="1" s="1"/>
  <c r="D50" i="1"/>
  <c r="G50" i="1" s="1"/>
  <c r="H50" i="1" s="1"/>
  <c r="D2" i="1"/>
  <c r="G2" i="1" s="1"/>
  <c r="H2" i="1" s="1"/>
  <c r="D30" i="1"/>
  <c r="G30" i="1" s="1"/>
  <c r="H30" i="1" s="1"/>
  <c r="D4" i="1"/>
  <c r="G4" i="1" s="1"/>
  <c r="H4" i="1" s="1"/>
  <c r="D45" i="1"/>
  <c r="G45" i="1" s="1"/>
  <c r="H45" i="1" s="1"/>
  <c r="D67" i="1"/>
  <c r="G67" i="1" s="1"/>
  <c r="H67" i="1" s="1"/>
  <c r="D127" i="1"/>
  <c r="G127" i="1" s="1"/>
  <c r="H127" i="1" s="1"/>
  <c r="D37" i="1"/>
  <c r="G37" i="1" s="1"/>
  <c r="H37" i="1" s="1"/>
  <c r="D62" i="1"/>
  <c r="G62" i="1" s="1"/>
  <c r="H62" i="1" s="1"/>
  <c r="D47" i="1"/>
  <c r="G47" i="1" s="1"/>
  <c r="H47" i="1" s="1"/>
  <c r="D9" i="1"/>
  <c r="G9" i="1" s="1"/>
  <c r="H9" i="1" s="1"/>
  <c r="D49" i="1"/>
  <c r="G49" i="1" s="1"/>
  <c r="H49" i="1" s="1"/>
  <c r="D97" i="1"/>
  <c r="G97" i="1" s="1"/>
  <c r="H97" i="1" s="1"/>
  <c r="D54" i="1"/>
  <c r="G54" i="1" s="1"/>
  <c r="H54" i="1" s="1"/>
  <c r="D7" i="1"/>
  <c r="G7" i="1" s="1"/>
  <c r="H7" i="1" s="1"/>
  <c r="D76" i="1"/>
  <c r="G76" i="1" s="1"/>
  <c r="H76" i="1" s="1"/>
  <c r="D130" i="1"/>
  <c r="G130" i="1" s="1"/>
  <c r="H130" i="1" s="1"/>
  <c r="D115" i="1"/>
  <c r="G115" i="1" s="1"/>
  <c r="H115" i="1" s="1"/>
  <c r="D46" i="1"/>
  <c r="G46" i="1" s="1"/>
  <c r="H46" i="1" s="1"/>
  <c r="D149" i="1"/>
  <c r="G149" i="1" s="1"/>
  <c r="H149" i="1" s="1"/>
  <c r="D72" i="1"/>
  <c r="G72" i="1" s="1"/>
  <c r="H72" i="1" s="1"/>
  <c r="D154" i="1"/>
  <c r="G154" i="1" s="1"/>
  <c r="H154" i="1" s="1"/>
  <c r="D75" i="1"/>
  <c r="G75" i="1" s="1"/>
  <c r="H75" i="1" s="1"/>
  <c r="D132" i="1"/>
  <c r="G132" i="1" s="1"/>
  <c r="H132" i="1" s="1"/>
  <c r="D71" i="1"/>
  <c r="G71" i="1" s="1"/>
  <c r="H71" i="1" s="1"/>
  <c r="D145" i="1"/>
  <c r="G145" i="1" s="1"/>
  <c r="H145" i="1" s="1"/>
  <c r="D20" i="1"/>
  <c r="G20" i="1" s="1"/>
  <c r="H20" i="1" s="1"/>
  <c r="D68" i="1"/>
  <c r="G68" i="1" s="1"/>
  <c r="H68" i="1" s="1"/>
  <c r="D38" i="1"/>
  <c r="G38" i="1" s="1"/>
  <c r="H38" i="1" s="1"/>
  <c r="D123" i="1"/>
  <c r="G123" i="1" s="1"/>
  <c r="H123" i="1" s="1"/>
  <c r="D65" i="1"/>
  <c r="G65" i="1" s="1"/>
  <c r="H65" i="1" s="1"/>
  <c r="D42" i="1"/>
  <c r="G42" i="1" s="1"/>
  <c r="H42" i="1" s="1"/>
  <c r="D120" i="1"/>
  <c r="G120" i="1" s="1"/>
  <c r="H120" i="1" s="1"/>
  <c r="D25" i="1"/>
  <c r="G25" i="1" s="1"/>
  <c r="H25" i="1" s="1"/>
  <c r="D92" i="1"/>
  <c r="G92" i="1" s="1"/>
  <c r="H92" i="1" s="1"/>
  <c r="D69" i="1"/>
  <c r="G69" i="1" s="1"/>
  <c r="H69" i="1" s="1"/>
  <c r="D110" i="1"/>
  <c r="G110" i="1" s="1"/>
  <c r="H110" i="1" s="1"/>
  <c r="D31" i="1"/>
  <c r="G31" i="1" s="1"/>
  <c r="H31" i="1" s="1"/>
  <c r="D94" i="1"/>
  <c r="G94" i="1" s="1"/>
  <c r="H94" i="1" s="1"/>
  <c r="D159" i="1"/>
  <c r="G159" i="1" s="1"/>
  <c r="H159" i="1" s="1"/>
  <c r="D102" i="1"/>
  <c r="G102" i="1" s="1"/>
  <c r="H102" i="1" s="1"/>
  <c r="D91" i="1"/>
  <c r="G91" i="1" s="1"/>
  <c r="H91" i="1" s="1"/>
  <c r="D93" i="1"/>
  <c r="G93" i="1" s="1"/>
  <c r="H93" i="1" s="1"/>
  <c r="D89" i="1"/>
  <c r="G89" i="1" s="1"/>
  <c r="H89" i="1" s="1"/>
  <c r="D12" i="1"/>
  <c r="G12" i="1" s="1"/>
  <c r="H12" i="1" s="1"/>
  <c r="D81" i="1"/>
  <c r="G81" i="1" s="1"/>
  <c r="H81" i="1" s="1"/>
  <c r="D166" i="1"/>
  <c r="G166" i="1" s="1"/>
  <c r="H166" i="1" s="1"/>
  <c r="D19" i="1"/>
  <c r="G19" i="1" s="1"/>
  <c r="H19" i="1" s="1"/>
  <c r="D27" i="1"/>
  <c r="G27" i="1" s="1"/>
  <c r="H27" i="1" s="1"/>
  <c r="D101" i="1"/>
  <c r="G101" i="1" s="1"/>
  <c r="H101" i="1" s="1"/>
  <c r="D55" i="1"/>
  <c r="G55" i="1" s="1"/>
  <c r="H55" i="1" s="1"/>
  <c r="D133" i="1"/>
  <c r="G133" i="1" s="1"/>
  <c r="H133" i="1" s="1"/>
  <c r="D82" i="1"/>
  <c r="G82" i="1" s="1"/>
  <c r="H82" i="1" s="1"/>
  <c r="D3" i="1"/>
  <c r="G3" i="1" s="1"/>
  <c r="H3" i="1" s="1"/>
  <c r="D88" i="1"/>
  <c r="G88" i="1" s="1"/>
  <c r="H88" i="1" s="1"/>
  <c r="D56" i="1"/>
  <c r="G56" i="1" s="1"/>
  <c r="H56" i="1" s="1"/>
  <c r="D24" i="1"/>
  <c r="G24" i="1" s="1"/>
  <c r="H24" i="1" s="1"/>
  <c r="D140" i="1"/>
  <c r="G140" i="1" s="1"/>
  <c r="H140" i="1" s="1"/>
  <c r="D74" i="1"/>
  <c r="G74" i="1" s="1"/>
  <c r="H74" i="1" s="1"/>
  <c r="D90" i="1"/>
  <c r="G90" i="1" s="1"/>
  <c r="H90" i="1" s="1"/>
  <c r="D59" i="1"/>
  <c r="G59" i="1" s="1"/>
  <c r="H59" i="1" s="1"/>
  <c r="D171" i="1"/>
  <c r="G171" i="1" s="1"/>
  <c r="H171" i="1" s="1"/>
  <c r="D163" i="1"/>
  <c r="G163" i="1" s="1"/>
  <c r="H163" i="1" s="1"/>
  <c r="D107" i="1"/>
  <c r="G107" i="1" s="1"/>
  <c r="H107" i="1" s="1"/>
  <c r="D63" i="1"/>
  <c r="G63" i="1" s="1"/>
  <c r="H63" i="1" s="1"/>
  <c r="D167" i="1"/>
  <c r="G167" i="1" s="1"/>
  <c r="H167" i="1" s="1"/>
  <c r="D10" i="1"/>
  <c r="G10" i="1" s="1"/>
  <c r="H10" i="1" s="1"/>
  <c r="D138" i="1"/>
  <c r="G138" i="1" s="1"/>
  <c r="H138" i="1" s="1"/>
  <c r="D137" i="1"/>
  <c r="G137" i="1" s="1"/>
  <c r="H137" i="1" s="1"/>
  <c r="D28" i="1"/>
  <c r="G28" i="1" s="1"/>
  <c r="H28" i="1" s="1"/>
  <c r="D180" i="1"/>
  <c r="G180" i="1" s="1"/>
  <c r="H180" i="1" s="1"/>
  <c r="D98" i="1"/>
  <c r="G98" i="1" s="1"/>
  <c r="H98" i="1" s="1"/>
  <c r="D113" i="1"/>
  <c r="G113" i="1" s="1"/>
  <c r="H113" i="1" s="1"/>
  <c r="D161" i="1"/>
  <c r="G161" i="1" s="1"/>
  <c r="H161" i="1" s="1"/>
  <c r="D33" i="1"/>
  <c r="G33" i="1" s="1"/>
  <c r="H33" i="1" s="1"/>
  <c r="D109" i="1"/>
  <c r="G109" i="1" s="1"/>
  <c r="H109" i="1" s="1"/>
  <c r="D29" i="1"/>
  <c r="G29" i="1" s="1"/>
  <c r="H29" i="1" s="1"/>
  <c r="D129" i="1"/>
  <c r="G129" i="1" s="1"/>
  <c r="H129" i="1" s="1"/>
  <c r="D79" i="1"/>
  <c r="G79" i="1" s="1"/>
  <c r="H79" i="1" s="1"/>
  <c r="D116" i="1"/>
  <c r="G116" i="1" s="1"/>
  <c r="H116" i="1" s="1"/>
  <c r="D84" i="1"/>
  <c r="G84" i="1" s="1"/>
  <c r="H84" i="1" s="1"/>
  <c r="D52" i="1"/>
  <c r="G52" i="1" s="1"/>
  <c r="H52" i="1" s="1"/>
  <c r="D11" i="1"/>
  <c r="G11" i="1" s="1"/>
  <c r="H11" i="1" s="1"/>
  <c r="D168" i="1"/>
  <c r="G168" i="1" s="1"/>
  <c r="H168" i="1" s="1"/>
  <c r="D126" i="1"/>
  <c r="G126" i="1" s="1"/>
  <c r="H126" i="1" s="1"/>
  <c r="D21" i="1"/>
  <c r="G21" i="1" s="1"/>
  <c r="H21" i="1" s="1"/>
  <c r="D122" i="1"/>
  <c r="G122" i="1" s="1"/>
  <c r="H122" i="1" s="1"/>
  <c r="D119" i="1"/>
  <c r="G119" i="1" s="1"/>
  <c r="H119" i="1" s="1"/>
  <c r="D160" i="1"/>
  <c r="G160" i="1" s="1"/>
  <c r="H160" i="1" s="1"/>
  <c r="D146" i="1"/>
  <c r="G146" i="1" s="1"/>
  <c r="H146" i="1" s="1"/>
  <c r="D83" i="1"/>
  <c r="G83" i="1" s="1"/>
  <c r="H83" i="1" s="1"/>
  <c r="D51" i="1"/>
  <c r="G51" i="1" s="1"/>
  <c r="H51" i="1" s="1"/>
  <c r="D176" i="1"/>
  <c r="G176" i="1" s="1"/>
  <c r="H176" i="1" s="1"/>
  <c r="D148" i="1"/>
  <c r="G148" i="1" s="1"/>
  <c r="H148" i="1" s="1"/>
  <c r="D162" i="1"/>
  <c r="G162" i="1" s="1"/>
  <c r="H162" i="1" s="1"/>
  <c r="D14" i="1"/>
  <c r="G14" i="1" s="1"/>
  <c r="H14" i="1" s="1"/>
  <c r="D58" i="1"/>
  <c r="G58" i="1" s="1"/>
  <c r="H58" i="1" s="1"/>
  <c r="D85" i="1"/>
  <c r="G85" i="1" s="1"/>
  <c r="H85" i="1" s="1"/>
  <c r="D60" i="1"/>
  <c r="G60" i="1" s="1"/>
  <c r="H60" i="1" s="1"/>
  <c r="D17" i="1"/>
  <c r="G17" i="1" s="1"/>
  <c r="H17" i="1" s="1"/>
  <c r="D103" i="1"/>
  <c r="G103" i="1" s="1"/>
  <c r="H103" i="1" s="1"/>
  <c r="D157" i="1"/>
  <c r="G157" i="1" s="1"/>
  <c r="H157" i="1" s="1"/>
  <c r="D106" i="1"/>
  <c r="G106" i="1" s="1"/>
  <c r="H106" i="1" s="1"/>
  <c r="D170" i="1"/>
  <c r="G170" i="1" s="1"/>
  <c r="H170" i="1" s="1"/>
  <c r="D41" i="1"/>
  <c r="G41" i="1" s="1"/>
  <c r="H41" i="1" s="1"/>
  <c r="D34" i="1"/>
  <c r="G34" i="1" s="1"/>
  <c r="H34" i="1" s="1"/>
  <c r="D124" i="1"/>
  <c r="G124" i="1" s="1"/>
  <c r="H124" i="1" s="1"/>
  <c r="D174" i="1"/>
  <c r="G174" i="1" s="1"/>
  <c r="H174" i="1" s="1"/>
  <c r="D43" i="1"/>
  <c r="G43" i="1" s="1"/>
  <c r="H43" i="1" s="1"/>
  <c r="D118" i="1"/>
  <c r="G118" i="1" s="1"/>
  <c r="H118" i="1" s="1"/>
  <c r="D70" i="1"/>
  <c r="G70" i="1" s="1"/>
  <c r="H70" i="1" s="1"/>
  <c r="D165" i="1"/>
  <c r="G165" i="1" s="1"/>
  <c r="H165" i="1" s="1"/>
  <c r="D35" i="1"/>
  <c r="G35" i="1" s="1"/>
  <c r="H35" i="1" s="1"/>
  <c r="D136" i="1"/>
  <c r="G136" i="1" s="1"/>
  <c r="H136" i="1" s="1"/>
  <c r="D26" i="1"/>
  <c r="G26" i="1" s="1"/>
  <c r="H26" i="1" s="1"/>
  <c r="D125" i="1"/>
  <c r="G125" i="1" s="1"/>
  <c r="H125" i="1" s="1"/>
  <c r="D53" i="1"/>
  <c r="G53" i="1" s="1"/>
  <c r="H53" i="1" s="1"/>
  <c r="D112" i="1"/>
  <c r="G112" i="1" s="1"/>
  <c r="H112" i="1" s="1"/>
  <c r="D80" i="1"/>
  <c r="G80" i="1" s="1"/>
  <c r="H80" i="1" s="1"/>
  <c r="D48" i="1"/>
  <c r="G48" i="1" s="1"/>
  <c r="H48" i="1" s="1"/>
  <c r="D5" i="1"/>
  <c r="G5" i="1" s="1"/>
  <c r="H5" i="1" s="1"/>
  <c r="D179" i="1"/>
  <c r="G179" i="1" s="1"/>
  <c r="H179" i="1" s="1"/>
  <c r="D105" i="1"/>
  <c r="G105" i="1" s="1"/>
  <c r="H105" i="1" s="1"/>
  <c r="D23" i="1"/>
  <c r="G23" i="1" s="1"/>
  <c r="H23" i="1" s="1"/>
  <c r="D131" i="1"/>
  <c r="G131" i="1" s="1"/>
  <c r="H131" i="1" s="1"/>
  <c r="D99" i="1"/>
  <c r="G99" i="1" s="1"/>
  <c r="H99" i="1" s="1"/>
  <c r="D152" i="1"/>
  <c r="G152" i="1" s="1"/>
  <c r="H152" i="1" s="1"/>
  <c r="D13" i="1"/>
  <c r="G13" i="1" s="1"/>
  <c r="H13" i="1" s="1"/>
  <c r="D156" i="1"/>
  <c r="G156" i="1" s="1"/>
  <c r="H156" i="1" s="1"/>
  <c r="L13" i="1" l="1"/>
  <c r="L16" i="1" l="1"/>
  <c r="M13" i="1"/>
  <c r="L15" i="1"/>
  <c r="L20" i="1" s="1"/>
  <c r="L19" i="1" l="1"/>
  <c r="M19" i="1"/>
</calcChain>
</file>

<file path=xl/sharedStrings.xml><?xml version="1.0" encoding="utf-8"?>
<sst xmlns="http://schemas.openxmlformats.org/spreadsheetml/2006/main" count="36" uniqueCount="36">
  <si>
    <t>Residuals</t>
  </si>
  <si>
    <t>Upper 95.0%</t>
  </si>
  <si>
    <t>Lower 95.0%</t>
  </si>
  <si>
    <t>Upper 95%</t>
  </si>
  <si>
    <t>Lower 95%</t>
  </si>
  <si>
    <t>P-value</t>
  </si>
  <si>
    <t>t Stat</t>
  </si>
  <si>
    <t>Standard Error</t>
  </si>
  <si>
    <t>Residual</t>
  </si>
  <si>
    <t>Significance F</t>
  </si>
  <si>
    <t>F</t>
  </si>
  <si>
    <t>MS</t>
  </si>
  <si>
    <t>SS</t>
  </si>
  <si>
    <t>tc</t>
  </si>
  <si>
    <t>tstat(alpha)</t>
  </si>
  <si>
    <t>tstat (beta)</t>
  </si>
  <si>
    <t>from 1</t>
  </si>
  <si>
    <t>From 0</t>
  </si>
  <si>
    <t>SE(Beta)</t>
  </si>
  <si>
    <t>SE(Alpha)</t>
  </si>
  <si>
    <t>s</t>
  </si>
  <si>
    <t>T</t>
  </si>
  <si>
    <t>alpha(sample)</t>
  </si>
  <si>
    <t>Beta (sample)</t>
  </si>
  <si>
    <t>Covariance</t>
  </si>
  <si>
    <t>Stdev(SP)</t>
  </si>
  <si>
    <t>Average(BRK)</t>
  </si>
  <si>
    <t>Average(SP)</t>
  </si>
  <si>
    <t>X^2</t>
  </si>
  <si>
    <t>Residual^2</t>
  </si>
  <si>
    <t>Diff^2(X)</t>
  </si>
  <si>
    <t>Diff (x)</t>
  </si>
  <si>
    <t>fitted y</t>
  </si>
  <si>
    <t>Date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</si>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</sst>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%"/>
    <numFmt numFmtId="165" formatCode="_(* #,##0.0000_);_(* \(#,##0.0000\);_(* &quot;-&quot;??_);_(@_)"/>
    <numFmt numFmtId="166" formatCode="_(* #,##0.00000000_);_(* \(#,##0.00000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64" fontId="0" fillId="0" borderId="0" xfId="0" applyNumberFormat="1"/>
    <xf numFmtId="10" fontId="0" fillId="0" borderId="0" xfId="2" applyNumberFormat="1" applyFont="1"/>
    <xf numFmtId="164" fontId="0" fillId="0" borderId="0" xfId="2" applyNumberFormat="1" applyFont="1"/>
    <xf numFmtId="14" fontId="0" fillId="0" borderId="0" xfId="0" applyNumberFormat="1"/>
    <xf numFmtId="0" fontId="2" fillId="0" borderId="2" xfId="0" applyFont="1" applyBorder="1" applyAlignment="1">
      <alignment horizontal="center"/>
    </xf>
    <xf numFmtId="9" fontId="0" fillId="0" borderId="0" xfId="0" applyNumberFormat="1"/>
    <xf numFmtId="0" fontId="3" fillId="0" borderId="0" xfId="0" applyFont="1"/>
    <xf numFmtId="0" fontId="2" fillId="0" borderId="2" xfId="0" applyFont="1" applyBorder="1" applyAlignment="1">
      <alignment horizontal="centerContinuous"/>
    </xf>
    <xf numFmtId="165" fontId="0" fillId="0" borderId="0" xfId="0" applyNumberFormat="1"/>
    <xf numFmtId="0" fontId="4" fillId="0" borderId="0" xfId="0" applyFont="1"/>
    <xf numFmtId="0" fontId="5" fillId="0" borderId="0" xfId="0" applyFont="1"/>
    <xf numFmtId="166" fontId="6" fillId="0" borderId="0" xfId="1" applyNumberFormat="1" applyFont="1"/>
    <xf numFmtId="0" fontId="7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Regression!$B$2:$B$182</c:f>
              <c:numCache>
                <c:formatCode>0.000%</c:formatCode>
                <c:ptCount val="181"/>
                <c:pt idx="0">
                  <c:v>2.2649578490472999E-2</c:v>
                </c:pt>
                <c:pt idx="1">
                  <c:v>3.195910945579894E-2</c:v>
                </c:pt>
                <c:pt idx="2">
                  <c:v>-1.0529294887435814E-3</c:v>
                </c:pt>
                <c:pt idx="3">
                  <c:v>2.8499571093759002E-2</c:v>
                </c:pt>
                <c:pt idx="4">
                  <c:v>-1.3504480776294292E-2</c:v>
                </c:pt>
                <c:pt idx="5">
                  <c:v>-1.825627029945065E-2</c:v>
                </c:pt>
                <c:pt idx="6">
                  <c:v>-2.1471608161026334E-2</c:v>
                </c:pt>
                <c:pt idx="7">
                  <c:v>-5.6790341241537701E-2</c:v>
                </c:pt>
                <c:pt idx="8">
                  <c:v>-7.1764477077923883E-2</c:v>
                </c:pt>
                <c:pt idx="9">
                  <c:v>0.10771938412454141</c:v>
                </c:pt>
                <c:pt idx="10">
                  <c:v>-5.0556261619931764E-3</c:v>
                </c:pt>
                <c:pt idx="11">
                  <c:v>8.5365504007079984E-3</c:v>
                </c:pt>
                <c:pt idx="12">
                  <c:v>4.3578708271740929E-2</c:v>
                </c:pt>
                <c:pt idx="13">
                  <c:v>4.059183827413726E-2</c:v>
                </c:pt>
                <c:pt idx="14">
                  <c:v>3.1328759140914597E-2</c:v>
                </c:pt>
                <c:pt idx="15">
                  <c:v>-7.4945725482297165E-3</c:v>
                </c:pt>
                <c:pt idx="16">
                  <c:v>-6.2652719835805892E-2</c:v>
                </c:pt>
                <c:pt idx="17">
                  <c:v>3.9554751462240523E-2</c:v>
                </c:pt>
                <c:pt idx="18">
                  <c:v>1.2601447074721328E-2</c:v>
                </c:pt>
                <c:pt idx="19">
                  <c:v>1.9757325811015525E-2</c:v>
                </c:pt>
                <c:pt idx="20">
                  <c:v>2.4242445387785638E-2</c:v>
                </c:pt>
                <c:pt idx="21">
                  <c:v>-1.9793874212047369E-2</c:v>
                </c:pt>
                <c:pt idx="22">
                  <c:v>2.8492542936535692E-3</c:v>
                </c:pt>
                <c:pt idx="23">
                  <c:v>7.0657664069984083E-3</c:v>
                </c:pt>
                <c:pt idx="24">
                  <c:v>5.043020173049606E-2</c:v>
                </c:pt>
                <c:pt idx="25">
                  <c:v>1.1058821970285848E-2</c:v>
                </c:pt>
                <c:pt idx="26">
                  <c:v>3.5986259325691883E-2</c:v>
                </c:pt>
                <c:pt idx="27">
                  <c:v>1.8085682553137694E-2</c:v>
                </c:pt>
                <c:pt idx="28">
                  <c:v>2.0766732418904477E-2</c:v>
                </c:pt>
                <c:pt idx="29">
                  <c:v>-1.5001933320248795E-2</c:v>
                </c:pt>
                <c:pt idx="30">
                  <c:v>4.9460571279654753E-2</c:v>
                </c:pt>
                <c:pt idx="31">
                  <c:v>-3.1294465537713201E-2</c:v>
                </c:pt>
                <c:pt idx="32">
                  <c:v>2.9746704101058397E-2</c:v>
                </c:pt>
                <c:pt idx="33">
                  <c:v>4.4600588960842513E-2</c:v>
                </c:pt>
                <c:pt idx="34">
                  <c:v>2.804827958869982E-2</c:v>
                </c:pt>
                <c:pt idx="35">
                  <c:v>2.3559382769622994E-2</c:v>
                </c:pt>
                <c:pt idx="36">
                  <c:v>-3.5582720880623198E-2</c:v>
                </c:pt>
                <c:pt idx="37">
                  <c:v>4.3118460223648736E-2</c:v>
                </c:pt>
                <c:pt idx="38">
                  <c:v>6.9299048525690576E-3</c:v>
                </c:pt>
                <c:pt idx="39">
                  <c:v>6.2034572293734325E-3</c:v>
                </c:pt>
                <c:pt idx="40">
                  <c:v>2.1031623713360315E-2</c:v>
                </c:pt>
                <c:pt idx="41">
                  <c:v>1.9057548724431106E-2</c:v>
                </c:pt>
                <c:pt idx="42">
                  <c:v>-1.5078511662157346E-2</c:v>
                </c:pt>
                <c:pt idx="43">
                  <c:v>3.7652047716220105E-2</c:v>
                </c:pt>
                <c:pt idx="44">
                  <c:v>-1.55151500505194E-2</c:v>
                </c:pt>
                <c:pt idx="45">
                  <c:v>2.3206258162649318E-2</c:v>
                </c:pt>
                <c:pt idx="46">
                  <c:v>2.4532311268006479E-2</c:v>
                </c:pt>
                <c:pt idx="47">
                  <c:v>-4.1883462182201736E-3</c:v>
                </c:pt>
                <c:pt idx="48">
                  <c:v>-3.1041766456985753E-2</c:v>
                </c:pt>
                <c:pt idx="49">
                  <c:v>5.4893916586232772E-2</c:v>
                </c:pt>
                <c:pt idx="50">
                  <c:v>-1.7398884310388607E-2</c:v>
                </c:pt>
                <c:pt idx="51">
                  <c:v>8.52387508934771E-3</c:v>
                </c:pt>
                <c:pt idx="52">
                  <c:v>1.0489466239135492E-2</c:v>
                </c:pt>
                <c:pt idx="53">
                  <c:v>-2.101070755318124E-2</c:v>
                </c:pt>
                <c:pt idx="54">
                  <c:v>1.9738887770079039E-2</c:v>
                </c:pt>
                <c:pt idx="55">
                  <c:v>-6.2576510789646766E-2</c:v>
                </c:pt>
                <c:pt idx="56">
                  <c:v>-2.6446882672691241E-2</c:v>
                </c:pt>
                <c:pt idx="57">
                  <c:v>8.2984938771496264E-2</c:v>
                </c:pt>
                <c:pt idx="58">
                  <c:v>5.0351609765897365E-4</c:v>
                </c:pt>
                <c:pt idx="59">
                  <c:v>-1.7530208734062636E-2</c:v>
                </c:pt>
                <c:pt idx="60">
                  <c:v>-5.0734045036633701E-2</c:v>
                </c:pt>
                <c:pt idx="61">
                  <c:v>-4.1300480105391779E-3</c:v>
                </c:pt>
                <c:pt idx="62">
                  <c:v>6.599370661088555E-2</c:v>
                </c:pt>
                <c:pt idx="63">
                  <c:v>2.69700118981131E-3</c:v>
                </c:pt>
                <c:pt idx="64">
                  <c:v>1.5333341782454379E-2</c:v>
                </c:pt>
                <c:pt idx="65">
                  <c:v>9.0179481344954127E-4</c:v>
                </c:pt>
                <c:pt idx="66">
                  <c:v>3.5614001594188816E-2</c:v>
                </c:pt>
                <c:pt idx="67">
                  <c:v>-1.2223488580096475E-3</c:v>
                </c:pt>
                <c:pt idx="68">
                  <c:v>-1.2321204097999194E-3</c:v>
                </c:pt>
                <c:pt idx="69">
                  <c:v>-1.9425049470841449E-2</c:v>
                </c:pt>
                <c:pt idx="70">
                  <c:v>3.4173054294655225E-2</c:v>
                </c:pt>
                <c:pt idx="71">
                  <c:v>1.8199036954797077E-2</c:v>
                </c:pt>
                <c:pt idx="72">
                  <c:v>1.7884461192794632E-2</c:v>
                </c:pt>
                <c:pt idx="73">
                  <c:v>3.7198884614172645E-2</c:v>
                </c:pt>
                <c:pt idx="74">
                  <c:v>-3.89220623005615E-4</c:v>
                </c:pt>
                <c:pt idx="75">
                  <c:v>9.090079905042403E-3</c:v>
                </c:pt>
                <c:pt idx="76">
                  <c:v>1.1576989486522526E-2</c:v>
                </c:pt>
                <c:pt idx="77">
                  <c:v>4.8144869756812092E-3</c:v>
                </c:pt>
                <c:pt idx="78">
                  <c:v>1.9349245754665123E-2</c:v>
                </c:pt>
                <c:pt idx="79">
                  <c:v>5.4656627454563456E-4</c:v>
                </c:pt>
                <c:pt idx="80">
                  <c:v>1.9302676329669088E-2</c:v>
                </c:pt>
                <c:pt idx="81">
                  <c:v>2.2189828300208214E-2</c:v>
                </c:pt>
                <c:pt idx="82">
                  <c:v>2.8081044037432834E-2</c:v>
                </c:pt>
                <c:pt idx="83">
                  <c:v>9.8318450742365116E-3</c:v>
                </c:pt>
                <c:pt idx="84">
                  <c:v>5.6178494549969704E-2</c:v>
                </c:pt>
                <c:pt idx="85">
                  <c:v>-3.8947167504676861E-2</c:v>
                </c:pt>
                <c:pt idx="86">
                  <c:v>-2.6886184436862748E-2</c:v>
                </c:pt>
                <c:pt idx="87">
                  <c:v>2.7200828840745483E-3</c:v>
                </c:pt>
                <c:pt idx="88">
                  <c:v>2.1610392796586053E-2</c:v>
                </c:pt>
                <c:pt idx="89">
                  <c:v>4.8419161083466111E-3</c:v>
                </c:pt>
                <c:pt idx="90">
                  <c:v>3.6019762305947056E-2</c:v>
                </c:pt>
                <c:pt idx="91">
                  <c:v>3.0262894579943689E-2</c:v>
                </c:pt>
                <c:pt idx="92">
                  <c:v>4.2944638745812114E-3</c:v>
                </c:pt>
                <c:pt idx="93">
                  <c:v>-6.9401252196493624E-2</c:v>
                </c:pt>
                <c:pt idx="94">
                  <c:v>1.7859296884204179E-2</c:v>
                </c:pt>
                <c:pt idx="95">
                  <c:v>-9.1779377093156755E-2</c:v>
                </c:pt>
                <c:pt idx="96">
                  <c:v>7.8685848280793724E-2</c:v>
                </c:pt>
                <c:pt idx="97">
                  <c:v>2.9729211783815712E-2</c:v>
                </c:pt>
                <c:pt idx="98">
                  <c:v>1.7923726321195987E-2</c:v>
                </c:pt>
                <c:pt idx="99">
                  <c:v>3.9313813986679325E-2</c:v>
                </c:pt>
                <c:pt idx="100">
                  <c:v>-6.5777027995349791E-2</c:v>
                </c:pt>
                <c:pt idx="101">
                  <c:v>6.8929293833237093E-2</c:v>
                </c:pt>
                <c:pt idx="102">
                  <c:v>1.3127586423790971E-2</c:v>
                </c:pt>
                <c:pt idx="103">
                  <c:v>-1.8091903240630258E-2</c:v>
                </c:pt>
                <c:pt idx="104">
                  <c:v>1.7180885878367524E-2</c:v>
                </c:pt>
                <c:pt idx="105">
                  <c:v>2.0434172707484377E-2</c:v>
                </c:pt>
                <c:pt idx="106">
                  <c:v>3.4045760887282395E-2</c:v>
                </c:pt>
                <c:pt idx="107">
                  <c:v>2.8590218480137208E-2</c:v>
                </c:pt>
                <c:pt idx="108">
                  <c:v>-1.6298325630415E-3</c:v>
                </c:pt>
                <c:pt idx="109">
                  <c:v>-8.4108280807849045E-2</c:v>
                </c:pt>
                <c:pt idx="110">
                  <c:v>-0.1251201547093802</c:v>
                </c:pt>
                <c:pt idx="111">
                  <c:v>0.12684397460846775</c:v>
                </c:pt>
                <c:pt idx="112">
                  <c:v>4.5279923106294362E-2</c:v>
                </c:pt>
                <c:pt idx="113">
                  <c:v>1.8388423939773579E-2</c:v>
                </c:pt>
                <c:pt idx="114">
                  <c:v>5.5104528942981901E-2</c:v>
                </c:pt>
                <c:pt idx="115">
                  <c:v>7.006263851522454E-2</c:v>
                </c:pt>
                <c:pt idx="116">
                  <c:v>-3.9227837158300027E-2</c:v>
                </c:pt>
                <c:pt idx="117">
                  <c:v>-2.7665753706911711E-2</c:v>
                </c:pt>
                <c:pt idx="118">
                  <c:v>0.10754701680089429</c:v>
                </c:pt>
                <c:pt idx="119">
                  <c:v>3.7120829823122481E-2</c:v>
                </c:pt>
                <c:pt idx="120">
                  <c:v>-1.1136310777434488E-2</c:v>
                </c:pt>
                <c:pt idx="121">
                  <c:v>2.6090664481449366E-2</c:v>
                </c:pt>
                <c:pt idx="122">
                  <c:v>4.2439281964457898E-2</c:v>
                </c:pt>
                <c:pt idx="123">
                  <c:v>5.242595975007136E-2</c:v>
                </c:pt>
                <c:pt idx="124">
                  <c:v>5.485455831532926E-3</c:v>
                </c:pt>
                <c:pt idx="125">
                  <c:v>2.2213042500697888E-2</c:v>
                </c:pt>
                <c:pt idx="126">
                  <c:v>2.2749835231048232E-2</c:v>
                </c:pt>
                <c:pt idx="127">
                  <c:v>2.8989418612476836E-2</c:v>
                </c:pt>
                <c:pt idx="128">
                  <c:v>-4.7569441768317455E-2</c:v>
                </c:pt>
                <c:pt idx="129">
                  <c:v>6.9143405229559418E-2</c:v>
                </c:pt>
                <c:pt idx="130">
                  <c:v>-8.3326852720162492E-3</c:v>
                </c:pt>
                <c:pt idx="131">
                  <c:v>4.3613184423158868E-2</c:v>
                </c:pt>
                <c:pt idx="132">
                  <c:v>-5.2586187915612426E-2</c:v>
                </c:pt>
                <c:pt idx="133">
                  <c:v>-3.1360190036336055E-2</c:v>
                </c:pt>
                <c:pt idx="134">
                  <c:v>3.5774229488720222E-2</c:v>
                </c:pt>
                <c:pt idx="135">
                  <c:v>-8.7958206365867153E-2</c:v>
                </c:pt>
                <c:pt idx="136">
                  <c:v>5.3575877765332791E-5</c:v>
                </c:pt>
                <c:pt idx="137">
                  <c:v>-8.3918328754959526E-2</c:v>
                </c:pt>
                <c:pt idx="138">
                  <c:v>9.1113834372415381E-2</c:v>
                </c:pt>
                <c:pt idx="139">
                  <c:v>-4.243938128990743E-2</c:v>
                </c:pt>
                <c:pt idx="140">
                  <c:v>-9.3394435089137362E-2</c:v>
                </c:pt>
                <c:pt idx="141">
                  <c:v>7.9861443809644106E-2</c:v>
                </c:pt>
                <c:pt idx="142">
                  <c:v>5.3752726026202291E-2</c:v>
                </c:pt>
                <c:pt idx="143">
                  <c:v>-5.897149067685914E-2</c:v>
                </c:pt>
                <c:pt idx="144">
                  <c:v>6.1754771067835224E-2</c:v>
                </c:pt>
                <c:pt idx="145">
                  <c:v>-2.6112514640123874E-2</c:v>
                </c:pt>
                <c:pt idx="146">
                  <c:v>3.5051290624090514E-2</c:v>
                </c:pt>
                <c:pt idx="147">
                  <c:v>1.4642098118692548E-2</c:v>
                </c:pt>
                <c:pt idx="148">
                  <c:v>2.4808987107580727E-3</c:v>
                </c:pt>
                <c:pt idx="149">
                  <c:v>6.4728982734588048E-2</c:v>
                </c:pt>
                <c:pt idx="150">
                  <c:v>3.1138865858735043E-2</c:v>
                </c:pt>
                <c:pt idx="151">
                  <c:v>-1.7716285687521816E-2</c:v>
                </c:pt>
                <c:pt idx="152">
                  <c:v>-4.8718754745776027E-2</c:v>
                </c:pt>
                <c:pt idx="153">
                  <c:v>-2.1980405260002001E-2</c:v>
                </c:pt>
                <c:pt idx="154">
                  <c:v>8.9178692794205094E-2</c:v>
                </c:pt>
                <c:pt idx="155">
                  <c:v>4.4229350796097355E-2</c:v>
                </c:pt>
                <c:pt idx="156">
                  <c:v>1.5895278093018383E-2</c:v>
                </c:pt>
                <c:pt idx="157">
                  <c:v>5.1721125175185456E-2</c:v>
                </c:pt>
                <c:pt idx="158">
                  <c:v>3.101972951085985E-2</c:v>
                </c:pt>
                <c:pt idx="159">
                  <c:v>-4.161552611494046E-2</c:v>
                </c:pt>
                <c:pt idx="160">
                  <c:v>4.802034799716659E-2</c:v>
                </c:pt>
                <c:pt idx="161">
                  <c:v>3.4670776166343176E-2</c:v>
                </c:pt>
                <c:pt idx="162">
                  <c:v>1.1321199980694585E-2</c:v>
                </c:pt>
                <c:pt idx="163">
                  <c:v>2.2833847758855885E-2</c:v>
                </c:pt>
                <c:pt idx="164">
                  <c:v>2.0198233636761209E-2</c:v>
                </c:pt>
                <c:pt idx="165">
                  <c:v>-9.8979804465961774E-3</c:v>
                </c:pt>
                <c:pt idx="166">
                  <c:v>5.7302510889593705E-2</c:v>
                </c:pt>
                <c:pt idx="167">
                  <c:v>-2.4991239575695712E-2</c:v>
                </c:pt>
                <c:pt idx="168">
                  <c:v>2.7016039635902267E-2</c:v>
                </c:pt>
                <c:pt idx="169">
                  <c:v>-1.4240665110677675E-2</c:v>
                </c:pt>
                <c:pt idx="170">
                  <c:v>-5.7545040285423843E-2</c:v>
                </c:pt>
                <c:pt idx="171">
                  <c:v>-7.6245644475474439E-3</c:v>
                </c:pt>
                <c:pt idx="172">
                  <c:v>6.1522368328896571E-2</c:v>
                </c:pt>
                <c:pt idx="173">
                  <c:v>4.9608046400029027E-2</c:v>
                </c:pt>
                <c:pt idx="174">
                  <c:v>2.16666579329583E-2</c:v>
                </c:pt>
                <c:pt idx="175">
                  <c:v>1.9066189771405284E-2</c:v>
                </c:pt>
                <c:pt idx="176">
                  <c:v>3.532307920480493E-2</c:v>
                </c:pt>
                <c:pt idx="177">
                  <c:v>2.2686795816517558E-2</c:v>
                </c:pt>
                <c:pt idx="178">
                  <c:v>1.2994696931023508E-3</c:v>
                </c:pt>
                <c:pt idx="179">
                  <c:v>-5.230866528792566E-4</c:v>
                </c:pt>
                <c:pt idx="180">
                  <c:v>1.9442280325868699E-2</c:v>
                </c:pt>
              </c:numCache>
            </c:numRef>
          </c:xVal>
          <c:yVal>
            <c:numRef>
              <c:f>Regression!$C$2:$C$182</c:f>
              <c:numCache>
                <c:formatCode>0.000%</c:formatCode>
                <c:ptCount val="181"/>
                <c:pt idx="0">
                  <c:v>1.6396845163968443E-2</c:v>
                </c:pt>
                <c:pt idx="1">
                  <c:v>7.2493363283643086E-2</c:v>
                </c:pt>
                <c:pt idx="2">
                  <c:v>-4.5696877380045686E-2</c:v>
                </c:pt>
                <c:pt idx="3">
                  <c:v>-4.3894652833200709E-3</c:v>
                </c:pt>
                <c:pt idx="4">
                  <c:v>-4.7895791583166369E-2</c:v>
                </c:pt>
                <c:pt idx="5">
                  <c:v>-2.2479478004630571E-2</c:v>
                </c:pt>
                <c:pt idx="6">
                  <c:v>-3.9662374574738424E-2</c:v>
                </c:pt>
                <c:pt idx="7">
                  <c:v>-1.5524663677130013E-2</c:v>
                </c:pt>
                <c:pt idx="8">
                  <c:v>-2.7047709280397902E-2</c:v>
                </c:pt>
                <c:pt idx="9">
                  <c:v>9.5037453183520526E-2</c:v>
                </c:pt>
                <c:pt idx="10">
                  <c:v>1.3253527148354038E-2</c:v>
                </c:pt>
                <c:pt idx="11">
                  <c:v>-3.1603375527426203E-2</c:v>
                </c:pt>
                <c:pt idx="12">
                  <c:v>2.7624068668031798E-2</c:v>
                </c:pt>
                <c:pt idx="13">
                  <c:v>7.631969472132738E-5</c:v>
                </c:pt>
                <c:pt idx="14">
                  <c:v>3.3628978920413166E-2</c:v>
                </c:pt>
                <c:pt idx="15">
                  <c:v>-9.0237899917965381E-3</c:v>
                </c:pt>
                <c:pt idx="16">
                  <c:v>-1.614238410596025E-2</c:v>
                </c:pt>
                <c:pt idx="17">
                  <c:v>5.1283129995792986E-2</c:v>
                </c:pt>
                <c:pt idx="18">
                  <c:v>2.0008803873704517E-2</c:v>
                </c:pt>
                <c:pt idx="19">
                  <c:v>-6.9449566479657943E-3</c:v>
                </c:pt>
                <c:pt idx="20">
                  <c:v>4.8515367031737533E-2</c:v>
                </c:pt>
                <c:pt idx="21">
                  <c:v>-2.4076865109268986E-2</c:v>
                </c:pt>
                <c:pt idx="22">
                  <c:v>1.8617041813057345E-2</c:v>
                </c:pt>
                <c:pt idx="23">
                  <c:v>1.6252766912277616E-2</c:v>
                </c:pt>
                <c:pt idx="24">
                  <c:v>8.8132179621065232E-2</c:v>
                </c:pt>
                <c:pt idx="25">
                  <c:v>4.6101113967437879E-2</c:v>
                </c:pt>
                <c:pt idx="26">
                  <c:v>2.4115334207077233E-2</c:v>
                </c:pt>
                <c:pt idx="27">
                  <c:v>1.7404658305605336E-2</c:v>
                </c:pt>
                <c:pt idx="28">
                  <c:v>7.735849056603783E-2</c:v>
                </c:pt>
                <c:pt idx="29">
                  <c:v>-1.5761821366024553E-2</c:v>
                </c:pt>
                <c:pt idx="30">
                  <c:v>3.1435349940688084E-2</c:v>
                </c:pt>
                <c:pt idx="31">
                  <c:v>-3.9390454284071286E-2</c:v>
                </c:pt>
                <c:pt idx="32">
                  <c:v>2.0113738401676073E-2</c:v>
                </c:pt>
                <c:pt idx="33">
                  <c:v>1.5168123936388556E-2</c:v>
                </c:pt>
                <c:pt idx="34">
                  <c:v>1.0145969705447788E-2</c:v>
                </c:pt>
                <c:pt idx="35">
                  <c:v>1.8025751072961338E-2</c:v>
                </c:pt>
                <c:pt idx="36">
                  <c:v>-4.715064643057898E-2</c:v>
                </c:pt>
                <c:pt idx="37">
                  <c:v>2.4754014319938733E-2</c:v>
                </c:pt>
                <c:pt idx="38">
                  <c:v>7.8534379533469867E-2</c:v>
                </c:pt>
                <c:pt idx="39">
                  <c:v>3.1625024919929468E-2</c:v>
                </c:pt>
                <c:pt idx="40">
                  <c:v>-6.5968180054326586E-3</c:v>
                </c:pt>
                <c:pt idx="41">
                  <c:v>-1.0934895833333291E-2</c:v>
                </c:pt>
                <c:pt idx="42">
                  <c:v>-9.3548990129040943E-3</c:v>
                </c:pt>
                <c:pt idx="43">
                  <c:v>9.438455486806574E-2</c:v>
                </c:pt>
                <c:pt idx="44">
                  <c:v>4.9543423353408667E-3</c:v>
                </c:pt>
                <c:pt idx="45">
                  <c:v>1.4983083615273118E-2</c:v>
                </c:pt>
                <c:pt idx="46">
                  <c:v>6.2214285714285777E-2</c:v>
                </c:pt>
                <c:pt idx="47">
                  <c:v>1.3157599802747999E-2</c:v>
                </c:pt>
                <c:pt idx="48">
                  <c:v>-4.4845132743362881E-2</c:v>
                </c:pt>
                <c:pt idx="49">
                  <c:v>2.4621870150325353E-2</c:v>
                </c:pt>
                <c:pt idx="50">
                  <c:v>-1.6638032371823819E-2</c:v>
                </c:pt>
                <c:pt idx="51">
                  <c:v>-1.8850574712643731E-2</c:v>
                </c:pt>
                <c:pt idx="52">
                  <c:v>6.5604498594189486E-3</c:v>
                </c:pt>
                <c:pt idx="53">
                  <c:v>-4.6322160148975833E-2</c:v>
                </c:pt>
                <c:pt idx="54">
                  <c:v>4.4666829387356666E-2</c:v>
                </c:pt>
                <c:pt idx="55">
                  <c:v>-5.3593457943925227E-2</c:v>
                </c:pt>
                <c:pt idx="56">
                  <c:v>-3.5999427248174398E-2</c:v>
                </c:pt>
                <c:pt idx="57">
                  <c:v>4.7920508092603953E-2</c:v>
                </c:pt>
                <c:pt idx="58">
                  <c:v>-1.5816536002658865E-2</c:v>
                </c:pt>
                <c:pt idx="59">
                  <c:v>-1.7679777512912165E-2</c:v>
                </c:pt>
                <c:pt idx="60">
                  <c:v>-1.7391051567239746E-2</c:v>
                </c:pt>
                <c:pt idx="61">
                  <c:v>4.2163757418255621E-2</c:v>
                </c:pt>
                <c:pt idx="62">
                  <c:v>5.3787860087383565E-2</c:v>
                </c:pt>
                <c:pt idx="63">
                  <c:v>2.6001405481377304E-2</c:v>
                </c:pt>
                <c:pt idx="64">
                  <c:v>-3.3356164383561593E-2</c:v>
                </c:pt>
                <c:pt idx="65">
                  <c:v>2.4941543257989141E-2</c:v>
                </c:pt>
                <c:pt idx="66">
                  <c:v>-4.4936052540615057E-3</c:v>
                </c:pt>
                <c:pt idx="67">
                  <c:v>4.5185185185185217E-2</c:v>
                </c:pt>
                <c:pt idx="68">
                  <c:v>-4.2257264351523771E-2</c:v>
                </c:pt>
                <c:pt idx="69">
                  <c:v>-2.4049579132364718E-3</c:v>
                </c:pt>
                <c:pt idx="70">
                  <c:v>9.8748261474269849E-2</c:v>
                </c:pt>
                <c:pt idx="71">
                  <c:v>3.0046413502109681E-2</c:v>
                </c:pt>
                <c:pt idx="72">
                  <c:v>7.6165098455274194E-3</c:v>
                </c:pt>
                <c:pt idx="73">
                  <c:v>4.5205440190649426E-2</c:v>
                </c:pt>
                <c:pt idx="74">
                  <c:v>-2.8199144301828127E-2</c:v>
                </c:pt>
                <c:pt idx="75">
                  <c:v>-8.2849709825895124E-3</c:v>
                </c:pt>
                <c:pt idx="76">
                  <c:v>2.6636532407782187E-3</c:v>
                </c:pt>
                <c:pt idx="77">
                  <c:v>2.5197230719690822E-2</c:v>
                </c:pt>
                <c:pt idx="78">
                  <c:v>3.1747153513937976E-2</c:v>
                </c:pt>
                <c:pt idx="79">
                  <c:v>3.2969792911342388E-2</c:v>
                </c:pt>
                <c:pt idx="80">
                  <c:v>1.2120095781911866E-2</c:v>
                </c:pt>
                <c:pt idx="81">
                  <c:v>2.0856082113998697E-2</c:v>
                </c:pt>
                <c:pt idx="82">
                  <c:v>3.9326844225763935E-2</c:v>
                </c:pt>
                <c:pt idx="83">
                  <c:v>2.0926277873070331E-2</c:v>
                </c:pt>
                <c:pt idx="84">
                  <c:v>8.6609674509083412E-2</c:v>
                </c:pt>
                <c:pt idx="85">
                  <c:v>-4.058770149397728E-2</c:v>
                </c:pt>
                <c:pt idx="86">
                  <c:v>-3.5938759065269998E-2</c:v>
                </c:pt>
                <c:pt idx="87">
                  <c:v>-2.8251420929454985E-2</c:v>
                </c:pt>
                <c:pt idx="88">
                  <c:v>-1.1869946671254072E-2</c:v>
                </c:pt>
                <c:pt idx="89">
                  <c:v>-1.7966538997214454E-2</c:v>
                </c:pt>
                <c:pt idx="90">
                  <c:v>6.9174547256610763E-2</c:v>
                </c:pt>
                <c:pt idx="91">
                  <c:v>4.7255844801856961E-2</c:v>
                </c:pt>
                <c:pt idx="92">
                  <c:v>1.3299715009499558E-2</c:v>
                </c:pt>
                <c:pt idx="93">
                  <c:v>-3.8422025246558467E-2</c:v>
                </c:pt>
                <c:pt idx="94">
                  <c:v>5.9456297427731064E-2</c:v>
                </c:pt>
                <c:pt idx="95">
                  <c:v>-6.1349693251533721E-2</c:v>
                </c:pt>
                <c:pt idx="96">
                  <c:v>1.7973856209150263E-2</c:v>
                </c:pt>
                <c:pt idx="97">
                  <c:v>-2.985553772070626E-2</c:v>
                </c:pt>
                <c:pt idx="98">
                  <c:v>-3.2594308405029526E-3</c:v>
                </c:pt>
                <c:pt idx="99">
                  <c:v>7.9229155254552319E-2</c:v>
                </c:pt>
                <c:pt idx="100">
                  <c:v>-8.6194195699698661E-2</c:v>
                </c:pt>
                <c:pt idx="101">
                  <c:v>7.1669023092977957E-2</c:v>
                </c:pt>
                <c:pt idx="102">
                  <c:v>-3.0419349772263238E-2</c:v>
                </c:pt>
                <c:pt idx="103">
                  <c:v>-1.8103710807150786E-2</c:v>
                </c:pt>
                <c:pt idx="104">
                  <c:v>2.8883653712905577E-2</c:v>
                </c:pt>
                <c:pt idx="105">
                  <c:v>2.2791118294466228E-2</c:v>
                </c:pt>
                <c:pt idx="106">
                  <c:v>3.6232978720068587E-2</c:v>
                </c:pt>
                <c:pt idx="107">
                  <c:v>2.7518985076662839E-2</c:v>
                </c:pt>
                <c:pt idx="108">
                  <c:v>-1.0583321063635576E-2</c:v>
                </c:pt>
                <c:pt idx="109">
                  <c:v>-8.0060504289917067E-2</c:v>
                </c:pt>
                <c:pt idx="110">
                  <c:v>-0.12001449387892438</c:v>
                </c:pt>
                <c:pt idx="111">
                  <c:v>3.5661764705882337E-2</c:v>
                </c:pt>
                <c:pt idx="112">
                  <c:v>-1.0862619808306717E-2</c:v>
                </c:pt>
                <c:pt idx="113">
                  <c:v>-4.0697674418604612E-2</c:v>
                </c:pt>
                <c:pt idx="114">
                  <c:v>9.850729517396184E-2</c:v>
                </c:pt>
                <c:pt idx="115">
                  <c:v>0.11554978868035048</c:v>
                </c:pt>
                <c:pt idx="116">
                  <c:v>-2.3076688240322385E-2</c:v>
                </c:pt>
                <c:pt idx="117">
                  <c:v>-5.4690422842428643E-2</c:v>
                </c:pt>
                <c:pt idx="118">
                  <c:v>0.13615864012698697</c:v>
                </c:pt>
                <c:pt idx="119">
                  <c:v>1.2007983985475201E-2</c:v>
                </c:pt>
                <c:pt idx="120">
                  <c:v>-1.0680965455773905E-2</c:v>
                </c:pt>
                <c:pt idx="121">
                  <c:v>5.9517611159546568E-2</c:v>
                </c:pt>
                <c:pt idx="122">
                  <c:v>5.7935129246389439E-2</c:v>
                </c:pt>
                <c:pt idx="123">
                  <c:v>6.947850931548194E-2</c:v>
                </c:pt>
                <c:pt idx="124">
                  <c:v>5.6969672727272602E-2</c:v>
                </c:pt>
                <c:pt idx="125">
                  <c:v>-3.9905941282246338E-2</c:v>
                </c:pt>
                <c:pt idx="126">
                  <c:v>7.142840079217283E-4</c:v>
                </c:pt>
                <c:pt idx="127">
                  <c:v>2.6259250417760782E-2</c:v>
                </c:pt>
                <c:pt idx="128">
                  <c:v>-4.3082135380321018E-2</c:v>
                </c:pt>
                <c:pt idx="129">
                  <c:v>5.2319176533541567E-2</c:v>
                </c:pt>
                <c:pt idx="130">
                  <c:v>-3.7019925987867963E-2</c:v>
                </c:pt>
                <c:pt idx="131">
                  <c:v>8.104568264903711E-2</c:v>
                </c:pt>
                <c:pt idx="132">
                  <c:v>4.2477510861798962E-2</c:v>
                </c:pt>
                <c:pt idx="133">
                  <c:v>1.3622673236768357E-2</c:v>
                </c:pt>
                <c:pt idx="134">
                  <c:v>0.11070022364317889</c:v>
                </c:pt>
                <c:pt idx="135">
                  <c:v>-8.4286689316552033E-2</c:v>
                </c:pt>
                <c:pt idx="136">
                  <c:v>-2.1245406119667964E-2</c:v>
                </c:pt>
                <c:pt idx="137">
                  <c:v>-0.13732728615124989</c:v>
                </c:pt>
                <c:pt idx="138">
                  <c:v>0.10453600684680286</c:v>
                </c:pt>
                <c:pt idx="139">
                  <c:v>-6.7283595306619426E-2</c:v>
                </c:pt>
                <c:pt idx="140">
                  <c:v>-3.5218889743370618E-2</c:v>
                </c:pt>
                <c:pt idx="141">
                  <c:v>9.4914753856373268E-2</c:v>
                </c:pt>
                <c:pt idx="142">
                  <c:v>7.9159644983709754E-2</c:v>
                </c:pt>
                <c:pt idx="143">
                  <c:v>-2.4088115266094778E-2</c:v>
                </c:pt>
                <c:pt idx="144">
                  <c:v>9.150500769173453E-3</c:v>
                </c:pt>
                <c:pt idx="145">
                  <c:v>-2.0031505292073093E-2</c:v>
                </c:pt>
                <c:pt idx="146">
                  <c:v>4.4765654495442231E-3</c:v>
                </c:pt>
                <c:pt idx="147">
                  <c:v>8.00686855670103E-2</c:v>
                </c:pt>
                <c:pt idx="148">
                  <c:v>-2.9541840182223944E-2</c:v>
                </c:pt>
                <c:pt idx="149">
                  <c:v>6.1033927062354554E-2</c:v>
                </c:pt>
                <c:pt idx="150">
                  <c:v>3.3969988992101241E-2</c:v>
                </c:pt>
                <c:pt idx="151">
                  <c:v>2.1152428091146813E-2</c:v>
                </c:pt>
                <c:pt idx="152">
                  <c:v>-2.7889724671640748E-2</c:v>
                </c:pt>
                <c:pt idx="153">
                  <c:v>-2.5686906488897931E-2</c:v>
                </c:pt>
                <c:pt idx="154">
                  <c:v>5.4217158306377744E-2</c:v>
                </c:pt>
                <c:pt idx="155">
                  <c:v>-5.999212309946822E-3</c:v>
                </c:pt>
                <c:pt idx="156">
                  <c:v>6.5229132537435675E-2</c:v>
                </c:pt>
                <c:pt idx="157">
                  <c:v>6.6677642065631648E-2</c:v>
                </c:pt>
                <c:pt idx="158">
                  <c:v>2.8997941809488337E-2</c:v>
                </c:pt>
                <c:pt idx="159">
                  <c:v>-5.5072173885631459E-2</c:v>
                </c:pt>
                <c:pt idx="160">
                  <c:v>4.653876486173858E-2</c:v>
                </c:pt>
                <c:pt idx="161">
                  <c:v>-2.4161619381574795E-2</c:v>
                </c:pt>
                <c:pt idx="162">
                  <c:v>7.6717877437152859E-2</c:v>
                </c:pt>
                <c:pt idx="163">
                  <c:v>8.5085176771140247E-2</c:v>
                </c:pt>
                <c:pt idx="164">
                  <c:v>-3.3719982345866484E-2</c:v>
                </c:pt>
                <c:pt idx="165">
                  <c:v>-2.0574235365606652E-2</c:v>
                </c:pt>
                <c:pt idx="166">
                  <c:v>6.9546996533766059E-2</c:v>
                </c:pt>
                <c:pt idx="167">
                  <c:v>-5.9554720733661082E-2</c:v>
                </c:pt>
                <c:pt idx="168">
                  <c:v>3.1859102390882965E-2</c:v>
                </c:pt>
                <c:pt idx="169">
                  <c:v>0.10302462164475923</c:v>
                </c:pt>
                <c:pt idx="170">
                  <c:v>3.0247239099964407E-2</c:v>
                </c:pt>
                <c:pt idx="171">
                  <c:v>2.6281195769359833E-3</c:v>
                </c:pt>
                <c:pt idx="172">
                  <c:v>-5.3888625178004856E-2</c:v>
                </c:pt>
                <c:pt idx="173">
                  <c:v>-3.7760760496435175E-2</c:v>
                </c:pt>
                <c:pt idx="174">
                  <c:v>-1.2280461031833112E-2</c:v>
                </c:pt>
                <c:pt idx="175">
                  <c:v>4.9218587205667852E-2</c:v>
                </c:pt>
                <c:pt idx="176">
                  <c:v>-1.4299332697806921E-3</c:v>
                </c:pt>
                <c:pt idx="177">
                  <c:v>-5.0994431185361955E-2</c:v>
                </c:pt>
                <c:pt idx="178">
                  <c:v>7.5949367088607556E-2</c:v>
                </c:pt>
                <c:pt idx="179">
                  <c:v>-1.9867549668874163E-2</c:v>
                </c:pt>
                <c:pt idx="180">
                  <c:v>-5.5378908320084741E-2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5F-0140-9BF7-F44CD2F1F734}"/>
            </c:ext>
          </c:extLst>
        </c:ser>
        <c:ser>
          <c:idx val="1"/>
          <c:order val="1"/>
          <c:tx>
            <c:v>fitted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Regression!$B$2:$B$182</c:f>
              <c:numCache>
                <c:formatCode>0.000%</c:formatCode>
                <c:ptCount val="181"/>
                <c:pt idx="0">
                  <c:v>2.2649578490472999E-2</c:v>
                </c:pt>
                <c:pt idx="1">
                  <c:v>3.195910945579894E-2</c:v>
                </c:pt>
                <c:pt idx="2">
                  <c:v>-1.0529294887435814E-3</c:v>
                </c:pt>
                <c:pt idx="3">
                  <c:v>2.8499571093759002E-2</c:v>
                </c:pt>
                <c:pt idx="4">
                  <c:v>-1.3504480776294292E-2</c:v>
                </c:pt>
                <c:pt idx="5">
                  <c:v>-1.825627029945065E-2</c:v>
                </c:pt>
                <c:pt idx="6">
                  <c:v>-2.1471608161026334E-2</c:v>
                </c:pt>
                <c:pt idx="7">
                  <c:v>-5.6790341241537701E-2</c:v>
                </c:pt>
                <c:pt idx="8">
                  <c:v>-7.1764477077923883E-2</c:v>
                </c:pt>
                <c:pt idx="9">
                  <c:v>0.10771938412454141</c:v>
                </c:pt>
                <c:pt idx="10">
                  <c:v>-5.0556261619931764E-3</c:v>
                </c:pt>
                <c:pt idx="11">
                  <c:v>8.5365504007079984E-3</c:v>
                </c:pt>
                <c:pt idx="12">
                  <c:v>4.3578708271740929E-2</c:v>
                </c:pt>
                <c:pt idx="13">
                  <c:v>4.059183827413726E-2</c:v>
                </c:pt>
                <c:pt idx="14">
                  <c:v>3.1328759140914597E-2</c:v>
                </c:pt>
                <c:pt idx="15">
                  <c:v>-7.4945725482297165E-3</c:v>
                </c:pt>
                <c:pt idx="16">
                  <c:v>-6.2652719835805892E-2</c:v>
                </c:pt>
                <c:pt idx="17">
                  <c:v>3.9554751462240523E-2</c:v>
                </c:pt>
                <c:pt idx="18">
                  <c:v>1.2601447074721328E-2</c:v>
                </c:pt>
                <c:pt idx="19">
                  <c:v>1.9757325811015525E-2</c:v>
                </c:pt>
                <c:pt idx="20">
                  <c:v>2.4242445387785638E-2</c:v>
                </c:pt>
                <c:pt idx="21">
                  <c:v>-1.9793874212047369E-2</c:v>
                </c:pt>
                <c:pt idx="22">
                  <c:v>2.8492542936535692E-3</c:v>
                </c:pt>
                <c:pt idx="23">
                  <c:v>7.0657664069984083E-3</c:v>
                </c:pt>
                <c:pt idx="24">
                  <c:v>5.043020173049606E-2</c:v>
                </c:pt>
                <c:pt idx="25">
                  <c:v>1.1058821970285848E-2</c:v>
                </c:pt>
                <c:pt idx="26">
                  <c:v>3.5986259325691883E-2</c:v>
                </c:pt>
                <c:pt idx="27">
                  <c:v>1.8085682553137694E-2</c:v>
                </c:pt>
                <c:pt idx="28">
                  <c:v>2.0766732418904477E-2</c:v>
                </c:pt>
                <c:pt idx="29">
                  <c:v>-1.5001933320248795E-2</c:v>
                </c:pt>
                <c:pt idx="30">
                  <c:v>4.9460571279654753E-2</c:v>
                </c:pt>
                <c:pt idx="31">
                  <c:v>-3.1294465537713201E-2</c:v>
                </c:pt>
                <c:pt idx="32">
                  <c:v>2.9746704101058397E-2</c:v>
                </c:pt>
                <c:pt idx="33">
                  <c:v>4.4600588960842513E-2</c:v>
                </c:pt>
                <c:pt idx="34">
                  <c:v>2.804827958869982E-2</c:v>
                </c:pt>
                <c:pt idx="35">
                  <c:v>2.3559382769622994E-2</c:v>
                </c:pt>
                <c:pt idx="36">
                  <c:v>-3.5582720880623198E-2</c:v>
                </c:pt>
                <c:pt idx="37">
                  <c:v>4.3118460223648736E-2</c:v>
                </c:pt>
                <c:pt idx="38">
                  <c:v>6.9299048525690576E-3</c:v>
                </c:pt>
                <c:pt idx="39">
                  <c:v>6.2034572293734325E-3</c:v>
                </c:pt>
                <c:pt idx="40">
                  <c:v>2.1031623713360315E-2</c:v>
                </c:pt>
                <c:pt idx="41">
                  <c:v>1.9057548724431106E-2</c:v>
                </c:pt>
                <c:pt idx="42">
                  <c:v>-1.5078511662157346E-2</c:v>
                </c:pt>
                <c:pt idx="43">
                  <c:v>3.7652047716220105E-2</c:v>
                </c:pt>
                <c:pt idx="44">
                  <c:v>-1.55151500505194E-2</c:v>
                </c:pt>
                <c:pt idx="45">
                  <c:v>2.3206258162649318E-2</c:v>
                </c:pt>
                <c:pt idx="46">
                  <c:v>2.4532311268006479E-2</c:v>
                </c:pt>
                <c:pt idx="47">
                  <c:v>-4.1883462182201736E-3</c:v>
                </c:pt>
                <c:pt idx="48">
                  <c:v>-3.1041766456985753E-2</c:v>
                </c:pt>
                <c:pt idx="49">
                  <c:v>5.4893916586232772E-2</c:v>
                </c:pt>
                <c:pt idx="50">
                  <c:v>-1.7398884310388607E-2</c:v>
                </c:pt>
                <c:pt idx="51">
                  <c:v>8.52387508934771E-3</c:v>
                </c:pt>
                <c:pt idx="52">
                  <c:v>1.0489466239135492E-2</c:v>
                </c:pt>
                <c:pt idx="53">
                  <c:v>-2.101070755318124E-2</c:v>
                </c:pt>
                <c:pt idx="54">
                  <c:v>1.9738887770079039E-2</c:v>
                </c:pt>
                <c:pt idx="55">
                  <c:v>-6.2576510789646766E-2</c:v>
                </c:pt>
                <c:pt idx="56">
                  <c:v>-2.6446882672691241E-2</c:v>
                </c:pt>
                <c:pt idx="57">
                  <c:v>8.2984938771496264E-2</c:v>
                </c:pt>
                <c:pt idx="58">
                  <c:v>5.0351609765897365E-4</c:v>
                </c:pt>
                <c:pt idx="59">
                  <c:v>-1.7530208734062636E-2</c:v>
                </c:pt>
                <c:pt idx="60">
                  <c:v>-5.0734045036633701E-2</c:v>
                </c:pt>
                <c:pt idx="61">
                  <c:v>-4.1300480105391779E-3</c:v>
                </c:pt>
                <c:pt idx="62">
                  <c:v>6.599370661088555E-2</c:v>
                </c:pt>
                <c:pt idx="63">
                  <c:v>2.69700118981131E-3</c:v>
                </c:pt>
                <c:pt idx="64">
                  <c:v>1.5333341782454379E-2</c:v>
                </c:pt>
                <c:pt idx="65">
                  <c:v>9.0179481344954127E-4</c:v>
                </c:pt>
                <c:pt idx="66">
                  <c:v>3.5614001594188816E-2</c:v>
                </c:pt>
                <c:pt idx="67">
                  <c:v>-1.2223488580096475E-3</c:v>
                </c:pt>
                <c:pt idx="68">
                  <c:v>-1.2321204097999194E-3</c:v>
                </c:pt>
                <c:pt idx="69">
                  <c:v>-1.9425049470841449E-2</c:v>
                </c:pt>
                <c:pt idx="70">
                  <c:v>3.4173054294655225E-2</c:v>
                </c:pt>
                <c:pt idx="71">
                  <c:v>1.8199036954797077E-2</c:v>
                </c:pt>
                <c:pt idx="72">
                  <c:v>1.7884461192794632E-2</c:v>
                </c:pt>
                <c:pt idx="73">
                  <c:v>3.7198884614172645E-2</c:v>
                </c:pt>
                <c:pt idx="74">
                  <c:v>-3.89220623005615E-4</c:v>
                </c:pt>
                <c:pt idx="75">
                  <c:v>9.090079905042403E-3</c:v>
                </c:pt>
                <c:pt idx="76">
                  <c:v>1.1576989486522526E-2</c:v>
                </c:pt>
                <c:pt idx="77">
                  <c:v>4.8144869756812092E-3</c:v>
                </c:pt>
                <c:pt idx="78">
                  <c:v>1.9349245754665123E-2</c:v>
                </c:pt>
                <c:pt idx="79">
                  <c:v>5.4656627454563456E-4</c:v>
                </c:pt>
                <c:pt idx="80">
                  <c:v>1.9302676329669088E-2</c:v>
                </c:pt>
                <c:pt idx="81">
                  <c:v>2.2189828300208214E-2</c:v>
                </c:pt>
                <c:pt idx="82">
                  <c:v>2.8081044037432834E-2</c:v>
                </c:pt>
                <c:pt idx="83">
                  <c:v>9.8318450742365116E-3</c:v>
                </c:pt>
                <c:pt idx="84">
                  <c:v>5.6178494549969704E-2</c:v>
                </c:pt>
                <c:pt idx="85">
                  <c:v>-3.8947167504676861E-2</c:v>
                </c:pt>
                <c:pt idx="86">
                  <c:v>-2.6886184436862748E-2</c:v>
                </c:pt>
                <c:pt idx="87">
                  <c:v>2.7200828840745483E-3</c:v>
                </c:pt>
                <c:pt idx="88">
                  <c:v>2.1610392796586053E-2</c:v>
                </c:pt>
                <c:pt idx="89">
                  <c:v>4.8419161083466111E-3</c:v>
                </c:pt>
                <c:pt idx="90">
                  <c:v>3.6019762305947056E-2</c:v>
                </c:pt>
                <c:pt idx="91">
                  <c:v>3.0262894579943689E-2</c:v>
                </c:pt>
                <c:pt idx="92">
                  <c:v>4.2944638745812114E-3</c:v>
                </c:pt>
                <c:pt idx="93">
                  <c:v>-6.9401252196493624E-2</c:v>
                </c:pt>
                <c:pt idx="94">
                  <c:v>1.7859296884204179E-2</c:v>
                </c:pt>
                <c:pt idx="95">
                  <c:v>-9.1779377093156755E-2</c:v>
                </c:pt>
                <c:pt idx="96">
                  <c:v>7.8685848280793724E-2</c:v>
                </c:pt>
                <c:pt idx="97">
                  <c:v>2.9729211783815712E-2</c:v>
                </c:pt>
                <c:pt idx="98">
                  <c:v>1.7923726321195987E-2</c:v>
                </c:pt>
                <c:pt idx="99">
                  <c:v>3.9313813986679325E-2</c:v>
                </c:pt>
                <c:pt idx="100">
                  <c:v>-6.5777027995349791E-2</c:v>
                </c:pt>
                <c:pt idx="101">
                  <c:v>6.8929293833237093E-2</c:v>
                </c:pt>
                <c:pt idx="102">
                  <c:v>1.3127586423790971E-2</c:v>
                </c:pt>
                <c:pt idx="103">
                  <c:v>-1.8091903240630258E-2</c:v>
                </c:pt>
                <c:pt idx="104">
                  <c:v>1.7180885878367524E-2</c:v>
                </c:pt>
                <c:pt idx="105">
                  <c:v>2.0434172707484377E-2</c:v>
                </c:pt>
                <c:pt idx="106">
                  <c:v>3.4045760887282395E-2</c:v>
                </c:pt>
                <c:pt idx="107">
                  <c:v>2.8590218480137208E-2</c:v>
                </c:pt>
                <c:pt idx="108">
                  <c:v>-1.6298325630415E-3</c:v>
                </c:pt>
                <c:pt idx="109">
                  <c:v>-8.4108280807849045E-2</c:v>
                </c:pt>
                <c:pt idx="110">
                  <c:v>-0.1251201547093802</c:v>
                </c:pt>
                <c:pt idx="111">
                  <c:v>0.12684397460846775</c:v>
                </c:pt>
                <c:pt idx="112">
                  <c:v>4.5279923106294362E-2</c:v>
                </c:pt>
                <c:pt idx="113">
                  <c:v>1.8388423939773579E-2</c:v>
                </c:pt>
                <c:pt idx="114">
                  <c:v>5.5104528942981901E-2</c:v>
                </c:pt>
                <c:pt idx="115">
                  <c:v>7.006263851522454E-2</c:v>
                </c:pt>
                <c:pt idx="116">
                  <c:v>-3.9227837158300027E-2</c:v>
                </c:pt>
                <c:pt idx="117">
                  <c:v>-2.7665753706911711E-2</c:v>
                </c:pt>
                <c:pt idx="118">
                  <c:v>0.10754701680089429</c:v>
                </c:pt>
                <c:pt idx="119">
                  <c:v>3.7120829823122481E-2</c:v>
                </c:pt>
                <c:pt idx="120">
                  <c:v>-1.1136310777434488E-2</c:v>
                </c:pt>
                <c:pt idx="121">
                  <c:v>2.6090664481449366E-2</c:v>
                </c:pt>
                <c:pt idx="122">
                  <c:v>4.2439281964457898E-2</c:v>
                </c:pt>
                <c:pt idx="123">
                  <c:v>5.242595975007136E-2</c:v>
                </c:pt>
                <c:pt idx="124">
                  <c:v>5.485455831532926E-3</c:v>
                </c:pt>
                <c:pt idx="125">
                  <c:v>2.2213042500697888E-2</c:v>
                </c:pt>
                <c:pt idx="126">
                  <c:v>2.2749835231048232E-2</c:v>
                </c:pt>
                <c:pt idx="127">
                  <c:v>2.8989418612476836E-2</c:v>
                </c:pt>
                <c:pt idx="128">
                  <c:v>-4.7569441768317455E-2</c:v>
                </c:pt>
                <c:pt idx="129">
                  <c:v>6.9143405229559418E-2</c:v>
                </c:pt>
                <c:pt idx="130">
                  <c:v>-8.3326852720162492E-3</c:v>
                </c:pt>
                <c:pt idx="131">
                  <c:v>4.3613184423158868E-2</c:v>
                </c:pt>
                <c:pt idx="132">
                  <c:v>-5.2586187915612426E-2</c:v>
                </c:pt>
                <c:pt idx="133">
                  <c:v>-3.1360190036336055E-2</c:v>
                </c:pt>
                <c:pt idx="134">
                  <c:v>3.5774229488720222E-2</c:v>
                </c:pt>
                <c:pt idx="135">
                  <c:v>-8.7958206365867153E-2</c:v>
                </c:pt>
                <c:pt idx="136">
                  <c:v>5.3575877765332791E-5</c:v>
                </c:pt>
                <c:pt idx="137">
                  <c:v>-8.3918328754959526E-2</c:v>
                </c:pt>
                <c:pt idx="138">
                  <c:v>9.1113834372415381E-2</c:v>
                </c:pt>
                <c:pt idx="139">
                  <c:v>-4.243938128990743E-2</c:v>
                </c:pt>
                <c:pt idx="140">
                  <c:v>-9.3394435089137362E-2</c:v>
                </c:pt>
                <c:pt idx="141">
                  <c:v>7.9861443809644106E-2</c:v>
                </c:pt>
                <c:pt idx="142">
                  <c:v>5.3752726026202291E-2</c:v>
                </c:pt>
                <c:pt idx="143">
                  <c:v>-5.897149067685914E-2</c:v>
                </c:pt>
                <c:pt idx="144">
                  <c:v>6.1754771067835224E-2</c:v>
                </c:pt>
                <c:pt idx="145">
                  <c:v>-2.6112514640123874E-2</c:v>
                </c:pt>
                <c:pt idx="146">
                  <c:v>3.5051290624090514E-2</c:v>
                </c:pt>
                <c:pt idx="147">
                  <c:v>1.4642098118692548E-2</c:v>
                </c:pt>
                <c:pt idx="148">
                  <c:v>2.4808987107580727E-3</c:v>
                </c:pt>
                <c:pt idx="149">
                  <c:v>6.4728982734588048E-2</c:v>
                </c:pt>
                <c:pt idx="150">
                  <c:v>3.1138865858735043E-2</c:v>
                </c:pt>
                <c:pt idx="151">
                  <c:v>-1.7716285687521816E-2</c:v>
                </c:pt>
                <c:pt idx="152">
                  <c:v>-4.8718754745776027E-2</c:v>
                </c:pt>
                <c:pt idx="153">
                  <c:v>-2.1980405260002001E-2</c:v>
                </c:pt>
                <c:pt idx="154">
                  <c:v>8.9178692794205094E-2</c:v>
                </c:pt>
                <c:pt idx="155">
                  <c:v>4.4229350796097355E-2</c:v>
                </c:pt>
                <c:pt idx="156">
                  <c:v>1.5895278093018383E-2</c:v>
                </c:pt>
                <c:pt idx="157">
                  <c:v>5.1721125175185456E-2</c:v>
                </c:pt>
                <c:pt idx="158">
                  <c:v>3.101972951085985E-2</c:v>
                </c:pt>
                <c:pt idx="159">
                  <c:v>-4.161552611494046E-2</c:v>
                </c:pt>
                <c:pt idx="160">
                  <c:v>4.802034799716659E-2</c:v>
                </c:pt>
                <c:pt idx="161">
                  <c:v>3.4670776166343176E-2</c:v>
                </c:pt>
                <c:pt idx="162">
                  <c:v>1.1321199980694585E-2</c:v>
                </c:pt>
                <c:pt idx="163">
                  <c:v>2.2833847758855885E-2</c:v>
                </c:pt>
                <c:pt idx="164">
                  <c:v>2.0198233636761209E-2</c:v>
                </c:pt>
                <c:pt idx="165">
                  <c:v>-9.8979804465961774E-3</c:v>
                </c:pt>
                <c:pt idx="166">
                  <c:v>5.7302510889593705E-2</c:v>
                </c:pt>
                <c:pt idx="167">
                  <c:v>-2.4991239575695712E-2</c:v>
                </c:pt>
                <c:pt idx="168">
                  <c:v>2.7016039635902267E-2</c:v>
                </c:pt>
                <c:pt idx="169">
                  <c:v>-1.4240665110677675E-2</c:v>
                </c:pt>
                <c:pt idx="170">
                  <c:v>-5.7545040285423843E-2</c:v>
                </c:pt>
                <c:pt idx="171">
                  <c:v>-7.6245644475474439E-3</c:v>
                </c:pt>
                <c:pt idx="172">
                  <c:v>6.1522368328896571E-2</c:v>
                </c:pt>
                <c:pt idx="173">
                  <c:v>4.9608046400029027E-2</c:v>
                </c:pt>
                <c:pt idx="174">
                  <c:v>2.16666579329583E-2</c:v>
                </c:pt>
                <c:pt idx="175">
                  <c:v>1.9066189771405284E-2</c:v>
                </c:pt>
                <c:pt idx="176">
                  <c:v>3.532307920480493E-2</c:v>
                </c:pt>
                <c:pt idx="177">
                  <c:v>2.2686795816517558E-2</c:v>
                </c:pt>
                <c:pt idx="178">
                  <c:v>1.2994696931023508E-3</c:v>
                </c:pt>
                <c:pt idx="179">
                  <c:v>-5.230866528792566E-4</c:v>
                </c:pt>
                <c:pt idx="180">
                  <c:v>1.9442280325868699E-2</c:v>
                </c:pt>
              </c:numCache>
            </c:numRef>
          </c:xVal>
          <c:yVal>
            <c:numRef>
              <c:f>Regression!$D$2:$D$182</c:f>
              <c:numCache>
                <c:formatCode>0.00%</c:formatCode>
                <c:ptCount val="181"/>
                <c:pt idx="0">
                  <c:v>2.074483380509767E-2</c:v>
                </c:pt>
                <c:pt idx="1">
                  <c:v>2.8108496702865436E-2</c:v>
                </c:pt>
                <c:pt idx="2">
                  <c:v>1.9965983418204032E-3</c:v>
                </c:pt>
                <c:pt idx="3">
                  <c:v>2.5372067297899613E-2</c:v>
                </c:pt>
                <c:pt idx="4">
                  <c:v>-7.85234319747867E-3</c:v>
                </c:pt>
                <c:pt idx="5">
                  <c:v>-1.1610918827120287E-2</c:v>
                </c:pt>
                <c:pt idx="6">
                  <c:v>-1.4154190255429442E-2</c:v>
                </c:pt>
                <c:pt idx="7">
                  <c:v>-4.2090640045412936E-2</c:v>
                </c:pt>
                <c:pt idx="8">
                  <c:v>-5.3934898246521049E-2</c:v>
                </c:pt>
                <c:pt idx="9">
                  <c:v>8.8033440911199384E-2</c:v>
                </c:pt>
                <c:pt idx="10">
                  <c:v>-1.1694590131211702E-3</c:v>
                </c:pt>
                <c:pt idx="11">
                  <c:v>9.5816955431564186E-3</c:v>
                </c:pt>
                <c:pt idx="12">
                  <c:v>3.72993795740416E-2</c:v>
                </c:pt>
                <c:pt idx="13">
                  <c:v>3.493682190451676E-2</c:v>
                </c:pt>
                <c:pt idx="14">
                  <c:v>2.7609901527276208E-2</c:v>
                </c:pt>
                <c:pt idx="15">
                  <c:v>-3.0986194703844427E-3</c:v>
                </c:pt>
                <c:pt idx="16">
                  <c:v>-4.6727670622792761E-2</c:v>
                </c:pt>
                <c:pt idx="17">
                  <c:v>3.4116505853474879E-2</c:v>
                </c:pt>
                <c:pt idx="18">
                  <c:v>1.2796951922148825E-2</c:v>
                </c:pt>
                <c:pt idx="19">
                  <c:v>1.8457116644478636E-2</c:v>
                </c:pt>
                <c:pt idx="20">
                  <c:v>2.2004761390763405E-2</c:v>
                </c:pt>
                <c:pt idx="21">
                  <c:v>-1.2827134437210865E-2</c:v>
                </c:pt>
                <c:pt idx="22">
                  <c:v>5.0831519013640938E-3</c:v>
                </c:pt>
                <c:pt idx="23">
                  <c:v>8.4183332249635357E-3</c:v>
                </c:pt>
                <c:pt idx="24">
                  <c:v>4.2718781299482589E-2</c:v>
                </c:pt>
                <c:pt idx="25">
                  <c:v>1.1576764644292881E-2</c:v>
                </c:pt>
                <c:pt idx="26">
                  <c:v>3.1293896073803854E-2</c:v>
                </c:pt>
                <c:pt idx="27">
                  <c:v>1.713487844771169E-2</c:v>
                </c:pt>
                <c:pt idx="28">
                  <c:v>1.9255538177739336E-2</c:v>
                </c:pt>
                <c:pt idx="29">
                  <c:v>-9.0367998344623862E-3</c:v>
                </c:pt>
                <c:pt idx="30">
                  <c:v>4.1951821954054822E-2</c:v>
                </c:pt>
                <c:pt idx="31">
                  <c:v>-2.1923884634682315E-2</c:v>
                </c:pt>
                <c:pt idx="32">
                  <c:v>2.635852591634523E-2</c:v>
                </c:pt>
                <c:pt idx="33">
                  <c:v>3.8107667869586179E-2</c:v>
                </c:pt>
                <c:pt idx="34">
                  <c:v>2.501510425386878E-2</c:v>
                </c:pt>
                <c:pt idx="35">
                  <c:v>2.146447178036838E-2</c:v>
                </c:pt>
                <c:pt idx="36">
                  <c:v>-2.5315813495798162E-2</c:v>
                </c:pt>
                <c:pt idx="37">
                  <c:v>3.6935332073890464E-2</c:v>
                </c:pt>
                <c:pt idx="38">
                  <c:v>8.3108693053191747E-3</c:v>
                </c:pt>
                <c:pt idx="39">
                  <c:v>7.7362629765985198E-3</c:v>
                </c:pt>
                <c:pt idx="40">
                  <c:v>1.9465062181063583E-2</c:v>
                </c:pt>
                <c:pt idx="41">
                  <c:v>1.790360620572698E-2</c:v>
                </c:pt>
                <c:pt idx="42">
                  <c:v>-9.0973718543831371E-3</c:v>
                </c:pt>
                <c:pt idx="43">
                  <c:v>3.2611503181245866E-2</c:v>
                </c:pt>
                <c:pt idx="44">
                  <c:v>-9.4427445602797335E-3</c:v>
                </c:pt>
                <c:pt idx="45">
                  <c:v>2.1185156895832752E-2</c:v>
                </c:pt>
                <c:pt idx="46">
                  <c:v>2.2234039819017313E-2</c:v>
                </c:pt>
                <c:pt idx="47">
                  <c:v>-4.8345698275832454E-4</c:v>
                </c:pt>
                <c:pt idx="48">
                  <c:v>-2.172400444179361E-2</c:v>
                </c:pt>
                <c:pt idx="49">
                  <c:v>4.6249495316314101E-2</c:v>
                </c:pt>
                <c:pt idx="50">
                  <c:v>-1.0932742727783253E-2</c:v>
                </c:pt>
                <c:pt idx="51">
                  <c:v>9.5716696116321508E-3</c:v>
                </c:pt>
                <c:pt idx="52">
                  <c:v>1.1126415030685196E-2</c:v>
                </c:pt>
                <c:pt idx="53">
                  <c:v>-1.3789626592857349E-2</c:v>
                </c:pt>
                <c:pt idx="54">
                  <c:v>1.8442532502865358E-2</c:v>
                </c:pt>
                <c:pt idx="55">
                  <c:v>-4.6667390708824336E-2</c:v>
                </c:pt>
                <c:pt idx="56">
                  <c:v>-1.8089538283618083E-2</c:v>
                </c:pt>
                <c:pt idx="57">
                  <c:v>6.8468962504987213E-2</c:v>
                </c:pt>
                <c:pt idx="58">
                  <c:v>3.2277173594889397E-3</c:v>
                </c:pt>
                <c:pt idx="59">
                  <c:v>-1.1036617862822918E-2</c:v>
                </c:pt>
                <c:pt idx="60">
                  <c:v>-3.7300224306097335E-2</c:v>
                </c:pt>
                <c:pt idx="61">
                  <c:v>-4.373442032309968E-4</c:v>
                </c:pt>
                <c:pt idx="62">
                  <c:v>5.5029219266100299E-2</c:v>
                </c:pt>
                <c:pt idx="63">
                  <c:v>4.9627225761908929E-3</c:v>
                </c:pt>
                <c:pt idx="64">
                  <c:v>1.4957828960408686E-2</c:v>
                </c:pt>
                <c:pt idx="65">
                  <c:v>3.54274828997953E-3</c:v>
                </c:pt>
                <c:pt idx="66">
                  <c:v>3.0999447249680914E-2</c:v>
                </c:pt>
                <c:pt idx="67">
                  <c:v>1.862590825407994E-3</c:v>
                </c:pt>
                <c:pt idx="68">
                  <c:v>1.854861712777117E-3</c:v>
                </c:pt>
                <c:pt idx="69">
                  <c:v>-1.2535401043475733E-2</c:v>
                </c:pt>
                <c:pt idx="70">
                  <c:v>2.985968519220086E-2</c:v>
                </c:pt>
                <c:pt idx="71">
                  <c:v>1.7224539635252369E-2</c:v>
                </c:pt>
                <c:pt idx="72">
                  <c:v>1.6975716157912626E-2</c:v>
                </c:pt>
                <c:pt idx="73">
                  <c:v>3.2253059739399771E-2</c:v>
                </c:pt>
                <c:pt idx="74">
                  <c:v>2.5215795001362648E-3</c:v>
                </c:pt>
                <c:pt idx="75">
                  <c:v>1.0019526910716012E-2</c:v>
                </c:pt>
                <c:pt idx="76">
                  <c:v>1.1986625348162071E-2</c:v>
                </c:pt>
                <c:pt idx="77">
                  <c:v>6.6376137791995162E-3</c:v>
                </c:pt>
                <c:pt idx="78">
                  <c:v>1.8134333039003921E-2</c:v>
                </c:pt>
                <c:pt idx="79">
                  <c:v>3.2617692350843225E-3</c:v>
                </c:pt>
                <c:pt idx="80">
                  <c:v>1.8097497504722879E-2</c:v>
                </c:pt>
                <c:pt idx="81">
                  <c:v>2.0381180101070706E-2</c:v>
                </c:pt>
                <c:pt idx="82">
                  <c:v>2.5041020313055832E-2</c:v>
                </c:pt>
                <c:pt idx="83">
                  <c:v>1.0606249128580169E-2</c:v>
                </c:pt>
                <c:pt idx="84">
                  <c:v>4.7265572187006208E-2</c:v>
                </c:pt>
                <c:pt idx="85">
                  <c:v>-2.7977027134738628E-2</c:v>
                </c:pt>
                <c:pt idx="86">
                  <c:v>-1.8437017669400479E-2</c:v>
                </c:pt>
                <c:pt idx="87">
                  <c:v>4.9809797597479243E-3</c:v>
                </c:pt>
                <c:pt idx="88">
                  <c:v>1.9922857578103245E-2</c:v>
                </c:pt>
                <c:pt idx="89">
                  <c:v>6.6593097042980482E-3</c:v>
                </c:pt>
                <c:pt idx="90">
                  <c:v>3.132039629745513E-2</c:v>
                </c:pt>
                <c:pt idx="91">
                  <c:v>2.6766822821066412E-2</c:v>
                </c:pt>
                <c:pt idx="92">
                  <c:v>6.2262853428030306E-3</c:v>
                </c:pt>
                <c:pt idx="93">
                  <c:v>-5.2065632067238257E-2</c:v>
                </c:pt>
                <c:pt idx="94">
                  <c:v>1.6955811665816764E-2</c:v>
                </c:pt>
                <c:pt idx="95">
                  <c:v>-6.9766305563779135E-2</c:v>
                </c:pt>
                <c:pt idx="96">
                  <c:v>6.5068463246921296E-2</c:v>
                </c:pt>
                <c:pt idx="97">
                  <c:v>2.634468982428477E-2</c:v>
                </c:pt>
                <c:pt idx="98">
                  <c:v>1.7006774131752774E-2</c:v>
                </c:pt>
                <c:pt idx="99">
                  <c:v>3.3925928867794303E-2</c:v>
                </c:pt>
                <c:pt idx="100">
                  <c:v>-4.9198939278680506E-2</c:v>
                </c:pt>
                <c:pt idx="101">
                  <c:v>5.7351213230447617E-2</c:v>
                </c:pt>
                <c:pt idx="102">
                  <c:v>1.321311819499651E-2</c:v>
                </c:pt>
                <c:pt idx="103">
                  <c:v>-1.1480907592702682E-2</c:v>
                </c:pt>
                <c:pt idx="104">
                  <c:v>1.6419201392783342E-2</c:v>
                </c:pt>
                <c:pt idx="105">
                  <c:v>1.8992489736588271E-2</c:v>
                </c:pt>
                <c:pt idx="106">
                  <c:v>2.9758998514806158E-2</c:v>
                </c:pt>
                <c:pt idx="107">
                  <c:v>2.5443767665870778E-2</c:v>
                </c:pt>
                <c:pt idx="108">
                  <c:v>1.5402789225458778E-3</c:v>
                </c:pt>
                <c:pt idx="109">
                  <c:v>-6.3698613505853111E-2</c:v>
                </c:pt>
                <c:pt idx="110">
                  <c:v>-9.6138229995818988E-2</c:v>
                </c:pt>
                <c:pt idx="111">
                  <c:v>0.10316063022997517</c:v>
                </c:pt>
                <c:pt idx="112">
                  <c:v>3.8645008328593439E-2</c:v>
                </c:pt>
                <c:pt idx="113">
                  <c:v>1.7374341157991358E-2</c:v>
                </c:pt>
                <c:pt idx="114">
                  <c:v>4.6416085706633581E-2</c:v>
                </c:pt>
                <c:pt idx="115">
                  <c:v>5.824766743595132E-2</c:v>
                </c:pt>
                <c:pt idx="116">
                  <c:v>-2.8199031521706355E-2</c:v>
                </c:pt>
                <c:pt idx="117">
                  <c:v>-1.9053642215951787E-2</c:v>
                </c:pt>
                <c:pt idx="118">
                  <c:v>8.7897101618634038E-2</c:v>
                </c:pt>
                <c:pt idx="119">
                  <c:v>3.2191319876135993E-2</c:v>
                </c:pt>
                <c:pt idx="120">
                  <c:v>-5.9791655238492086E-3</c:v>
                </c:pt>
                <c:pt idx="121">
                  <c:v>2.3466667733590751E-2</c:v>
                </c:pt>
                <c:pt idx="122">
                  <c:v>3.6398114917966976E-2</c:v>
                </c:pt>
                <c:pt idx="123">
                  <c:v>4.4297388141911698E-2</c:v>
                </c:pt>
                <c:pt idx="124">
                  <c:v>7.168337452367942E-3</c:v>
                </c:pt>
                <c:pt idx="125">
                  <c:v>2.0399542094546409E-2</c:v>
                </c:pt>
                <c:pt idx="126">
                  <c:v>2.0824134990471525E-2</c:v>
                </c:pt>
                <c:pt idx="127">
                  <c:v>2.5759527419422484E-2</c:v>
                </c:pt>
                <c:pt idx="128">
                  <c:v>-3.4797082981378721E-2</c:v>
                </c:pt>
                <c:pt idx="129">
                  <c:v>5.7520571294882902E-2</c:v>
                </c:pt>
                <c:pt idx="130">
                  <c:v>-3.761550781454839E-3</c:v>
                </c:pt>
                <c:pt idx="131">
                  <c:v>3.7326649557674466E-2</c:v>
                </c:pt>
                <c:pt idx="132">
                  <c:v>-3.8765234288887909E-2</c:v>
                </c:pt>
                <c:pt idx="133">
                  <c:v>-2.1975871469871552E-2</c:v>
                </c:pt>
                <c:pt idx="134">
                  <c:v>3.11261844834409E-2</c:v>
                </c:pt>
                <c:pt idx="135">
                  <c:v>-6.6743831798411132E-2</c:v>
                </c:pt>
                <c:pt idx="136">
                  <c:v>2.8718231564636132E-3</c:v>
                </c:pt>
                <c:pt idx="137">
                  <c:v>-6.3548365025083556E-2</c:v>
                </c:pt>
                <c:pt idx="138">
                  <c:v>7.4898765161991426E-2</c:v>
                </c:pt>
                <c:pt idx="139">
                  <c:v>-3.0739302181371459E-2</c:v>
                </c:pt>
                <c:pt idx="140">
                  <c:v>-7.1043785888732239E-2</c:v>
                </c:pt>
                <c:pt idx="141">
                  <c:v>6.5998337073091468E-2</c:v>
                </c:pt>
                <c:pt idx="142">
                  <c:v>4.5346835169688224E-2</c:v>
                </c:pt>
                <c:pt idx="143">
                  <c:v>-4.3815887990898583E-2</c:v>
                </c:pt>
                <c:pt idx="144">
                  <c:v>5.167630143375751E-2</c:v>
                </c:pt>
                <c:pt idx="145">
                  <c:v>-1.7825059494645096E-2</c:v>
                </c:pt>
                <c:pt idx="146">
                  <c:v>3.0554353516375445E-2</c:v>
                </c:pt>
                <c:pt idx="147">
                  <c:v>1.4411068297694478E-2</c:v>
                </c:pt>
                <c:pt idx="148">
                  <c:v>4.7917896029780749E-3</c:v>
                </c:pt>
                <c:pt idx="149">
                  <c:v>5.4028846603019862E-2</c:v>
                </c:pt>
                <c:pt idx="150">
                  <c:v>2.7459699533026547E-2</c:v>
                </c:pt>
                <c:pt idx="151">
                  <c:v>-1.118380121324309E-2</c:v>
                </c:pt>
                <c:pt idx="152">
                  <c:v>-3.5706167806549435E-2</c:v>
                </c:pt>
                <c:pt idx="153">
                  <c:v>-1.4556639136492681E-2</c:v>
                </c:pt>
                <c:pt idx="154">
                  <c:v>7.3368104778082824E-2</c:v>
                </c:pt>
                <c:pt idx="155">
                  <c:v>3.7814025503482979E-2</c:v>
                </c:pt>
                <c:pt idx="156">
                  <c:v>1.540230995267571E-2</c:v>
                </c:pt>
                <c:pt idx="157">
                  <c:v>4.3739877325579227E-2</c:v>
                </c:pt>
                <c:pt idx="158">
                  <c:v>2.7365464935398414E-2</c:v>
                </c:pt>
                <c:pt idx="159">
                  <c:v>-3.0087648321726567E-2</c:v>
                </c:pt>
                <c:pt idx="160">
                  <c:v>4.0812632580362454E-2</c:v>
                </c:pt>
                <c:pt idx="161">
                  <c:v>3.0253373777974608E-2</c:v>
                </c:pt>
                <c:pt idx="162">
                  <c:v>1.1784300687476266E-2</c:v>
                </c:pt>
                <c:pt idx="163">
                  <c:v>2.0890587310816028E-2</c:v>
                </c:pt>
                <c:pt idx="164">
                  <c:v>1.880586639458651E-2</c:v>
                </c:pt>
                <c:pt idx="165">
                  <c:v>-4.9996696559759888E-3</c:v>
                </c:pt>
                <c:pt idx="166">
                  <c:v>4.8154647850152069E-2</c:v>
                </c:pt>
                <c:pt idx="167">
                  <c:v>-1.693815212832616E-2</c:v>
                </c:pt>
                <c:pt idx="168">
                  <c:v>2.4198621976692876E-2</c:v>
                </c:pt>
                <c:pt idx="169">
                  <c:v>-8.4346510805726471E-3</c:v>
                </c:pt>
                <c:pt idx="170">
                  <c:v>-4.2687592713505876E-2</c:v>
                </c:pt>
                <c:pt idx="171">
                  <c:v>-3.2014406038638355E-3</c:v>
                </c:pt>
                <c:pt idx="172">
                  <c:v>5.1492475263305304E-2</c:v>
                </c:pt>
                <c:pt idx="173">
                  <c:v>4.2068471984683498E-2</c:v>
                </c:pt>
                <c:pt idx="174">
                  <c:v>1.9967362236682214E-2</c:v>
                </c:pt>
                <c:pt idx="175">
                  <c:v>1.7910441110432555E-2</c:v>
                </c:pt>
                <c:pt idx="176">
                  <c:v>3.0769333142663592E-2</c:v>
                </c:pt>
                <c:pt idx="177">
                  <c:v>2.0774272006009099E-2</c:v>
                </c:pt>
                <c:pt idx="178">
                  <c:v>3.8573015975071055E-3</c:v>
                </c:pt>
                <c:pt idx="179">
                  <c:v>2.4156940026688321E-3</c:v>
                </c:pt>
                <c:pt idx="180">
                  <c:v>1.8207921625016804E-2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5F-0140-9BF7-F44CD2F1F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755855"/>
        <c:axId val="2129753823"/>
      </c:scatterChart>
      <c:valAx>
        <c:axId val="209575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53823"/>
        <c:crosses val="autoZero"/>
        <c:crossBetween val="midCat"/>
      </c:valAx>
      <c:valAx>
        <c:axId val="212975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75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1</xdr:row>
      <xdr:rowOff>0</xdr:rowOff>
    </xdr:from>
    <xdr:to>
      <xdr:col>21</xdr:col>
      <xdr:colOff>447675</xdr:colOff>
      <xdr:row>15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E9393-2D35-A74F-A833-2C82EE8C2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6679-B1D7-CB4F-81B6-9E6405754D37}">
  <dimension ref="A1:X222"/>
  <sheetViews>
    <sheetView tabSelected="1" topLeftCell="C1" zoomScale="115" zoomScaleNormal="115" workbookViewId="0">
      <selection activeCell="Q182" sqref="Q182"/>
    </sheetView>
  </sheetViews>
  <sheetFormatPr baseColWidth="10" defaultColWidth="8.83203125" defaultRowHeight="15" x14ac:dyDescent="0.2"/>
  <cols>
    <col min="1" max="1" width="11.83203125" bestFit="1" customWidth="1"/>
    <col min="8" max="8" width="12" bestFit="1" customWidth="1"/>
    <col min="11" max="11" width="13.33203125" bestFit="1" customWidth="1"/>
    <col min="12" max="12" width="13.5" bestFit="1" customWidth="1"/>
    <col min="16" max="16" width="18.5" bestFit="1" customWidth="1"/>
  </cols>
  <sheetData>
    <row r="1" spans="1:13" x14ac:dyDescent="0.2">
      <c r="A1" t="s">
        <v>33</v>
      </c>
      <c r="B1" t="s">
        <v>34</v>
      </c>
      <c r="C1" t="s">
        <v>35</v>
      </c>
      <c r="D1" t="s">
        <v>32</v>
      </c>
      <c r="E1" t="s">
        <v>31</v>
      </c>
      <c r="F1" t="s">
        <v>30</v>
      </c>
      <c r="G1" t="s">
        <v>8</v>
      </c>
      <c r="H1" t="s">
        <v>29</v>
      </c>
      <c r="I1" t="s">
        <v>28</v>
      </c>
    </row>
    <row r="2" spans="1:13" x14ac:dyDescent="0.2">
      <c r="A2" s="5">
        <v>40574</v>
      </c>
      <c r="B2" s="4">
        <v>2.2649578490472999E-2</v>
      </c>
      <c r="C2" s="4">
        <v>1.6396845163968443E-2</v>
      </c>
      <c r="D2" s="3">
        <f t="shared" ref="D2:D33" si="0">B2*$L$8+$L$9</f>
        <v>2.074483380509767E-2</v>
      </c>
      <c r="E2" s="2">
        <f t="shared" ref="E2:E33" si="1">B2-$L$2</f>
        <v>1.2323397262754426E-2</v>
      </c>
      <c r="F2">
        <f t="shared" ref="F2:F33" si="2">E2^2</f>
        <v>1.5186612009566327E-4</v>
      </c>
      <c r="G2" s="2">
        <f t="shared" ref="G2:G33" si="3">C2-D2</f>
        <v>-4.3479886411292266E-3</v>
      </c>
      <c r="H2">
        <f t="shared" ref="H2:H33" si="4">G2^2</f>
        <v>1.8905005223388778E-5</v>
      </c>
      <c r="I2">
        <f t="shared" ref="I2:I33" si="5">B2^2</f>
        <v>5.1300340579609719E-4</v>
      </c>
      <c r="K2" t="s">
        <v>27</v>
      </c>
      <c r="L2" s="2">
        <f>AVERAGE(B2:B182)</f>
        <v>1.0326181227718573E-2</v>
      </c>
    </row>
    <row r="3" spans="1:13" x14ac:dyDescent="0.2">
      <c r="A3" s="5">
        <v>40602</v>
      </c>
      <c r="B3" s="4">
        <v>3.195910945579894E-2</v>
      </c>
      <c r="C3" s="4">
        <v>7.2493363283643086E-2</v>
      </c>
      <c r="D3" s="3">
        <f t="shared" si="0"/>
        <v>2.8108496702865436E-2</v>
      </c>
      <c r="E3" s="2">
        <f t="shared" si="1"/>
        <v>2.1632928228080366E-2</v>
      </c>
      <c r="F3">
        <f t="shared" si="2"/>
        <v>4.6798358372127633E-4</v>
      </c>
      <c r="G3" s="2">
        <f t="shared" si="3"/>
        <v>4.438486658077765E-2</v>
      </c>
      <c r="H3">
        <f t="shared" si="4"/>
        <v>1.9700163813934327E-3</v>
      </c>
      <c r="I3">
        <f t="shared" si="5"/>
        <v>1.0213846772077371E-3</v>
      </c>
      <c r="K3" t="s">
        <v>26</v>
      </c>
      <c r="L3" s="2">
        <f>AVERAGE(C2:C182)</f>
        <v>1.0997259675296113E-2</v>
      </c>
    </row>
    <row r="4" spans="1:13" x14ac:dyDescent="0.2">
      <c r="A4" s="5">
        <v>40633</v>
      </c>
      <c r="B4" s="4">
        <v>-1.0529294887435814E-3</v>
      </c>
      <c r="C4" s="4">
        <v>-4.5696877380045686E-2</v>
      </c>
      <c r="D4" s="3">
        <f t="shared" si="0"/>
        <v>1.9965983418204032E-3</v>
      </c>
      <c r="E4" s="2">
        <f t="shared" si="1"/>
        <v>-1.1379110716462155E-2</v>
      </c>
      <c r="F4">
        <f t="shared" si="2"/>
        <v>1.2948416069750386E-4</v>
      </c>
      <c r="G4" s="2">
        <f t="shared" si="3"/>
        <v>-4.7693475721866087E-2</v>
      </c>
      <c r="H4">
        <f t="shared" si="4"/>
        <v>2.2746676264322301E-3</v>
      </c>
      <c r="I4">
        <f t="shared" si="5"/>
        <v>1.1086605082658197E-6</v>
      </c>
    </row>
    <row r="5" spans="1:13" x14ac:dyDescent="0.2">
      <c r="A5" s="5">
        <v>40663</v>
      </c>
      <c r="B5" s="4">
        <v>2.8499571093759002E-2</v>
      </c>
      <c r="C5" s="4">
        <v>-4.3894652833200709E-3</v>
      </c>
      <c r="D5" s="3">
        <f t="shared" si="0"/>
        <v>2.5372067297899613E-2</v>
      </c>
      <c r="E5" s="2">
        <f t="shared" si="1"/>
        <v>1.8173389866040428E-2</v>
      </c>
      <c r="F5">
        <f t="shared" si="2"/>
        <v>3.3027209922310093E-4</v>
      </c>
      <c r="G5" s="2">
        <f t="shared" si="3"/>
        <v>-2.9761532581219684E-2</v>
      </c>
      <c r="H5">
        <f t="shared" si="4"/>
        <v>8.8574882158300075E-4</v>
      </c>
      <c r="I5">
        <f t="shared" si="5"/>
        <v>8.1222555252822366E-4</v>
      </c>
      <c r="K5" t="s">
        <v>25</v>
      </c>
      <c r="L5">
        <f>_xlfn.STDEV.S(B2:B182)</f>
        <v>4.0396883148928947E-2</v>
      </c>
    </row>
    <row r="6" spans="1:13" x14ac:dyDescent="0.2">
      <c r="A6" s="5">
        <v>40694</v>
      </c>
      <c r="B6" s="4">
        <v>-1.3504480776294292E-2</v>
      </c>
      <c r="C6" s="4">
        <v>-4.7895791583166369E-2</v>
      </c>
      <c r="D6" s="3">
        <f t="shared" si="0"/>
        <v>-7.85234319747867E-3</v>
      </c>
      <c r="E6" s="2">
        <f t="shared" si="1"/>
        <v>-2.3830662004012865E-2</v>
      </c>
      <c r="F6">
        <f t="shared" si="2"/>
        <v>5.6790045154950252E-4</v>
      </c>
      <c r="G6" s="2">
        <f t="shared" si="3"/>
        <v>-4.0043448385687699E-2</v>
      </c>
      <c r="H6">
        <f t="shared" si="4"/>
        <v>1.6034777586172349E-3</v>
      </c>
      <c r="I6">
        <f t="shared" si="5"/>
        <v>1.8237100103730207E-4</v>
      </c>
      <c r="K6" t="s">
        <v>24</v>
      </c>
      <c r="L6">
        <f>_xlfn.COVARIANCE.S(B2:B182,C2:C182)</f>
        <v>1.2908084924057701E-3</v>
      </c>
    </row>
    <row r="7" spans="1:13" x14ac:dyDescent="0.2">
      <c r="A7" s="5">
        <v>40724</v>
      </c>
      <c r="B7" s="4">
        <v>-1.825627029945065E-2</v>
      </c>
      <c r="C7" s="4">
        <v>-2.2479478004630571E-2</v>
      </c>
      <c r="D7" s="3">
        <f t="shared" si="0"/>
        <v>-1.1610918827120287E-2</v>
      </c>
      <c r="E7" s="2">
        <f t="shared" si="1"/>
        <v>-2.8582451527169223E-2</v>
      </c>
      <c r="F7">
        <f t="shared" si="2"/>
        <v>8.1695653530297824E-4</v>
      </c>
      <c r="G7" s="2">
        <f t="shared" si="3"/>
        <v>-1.0868559177510284E-2</v>
      </c>
      <c r="H7">
        <f t="shared" si="4"/>
        <v>1.1812557859504302E-4</v>
      </c>
      <c r="I7">
        <f t="shared" si="5"/>
        <v>3.332914052466039E-4</v>
      </c>
    </row>
    <row r="8" spans="1:13" x14ac:dyDescent="0.2">
      <c r="A8" s="5">
        <v>40755</v>
      </c>
      <c r="B8" s="4">
        <v>-2.1471608161026334E-2</v>
      </c>
      <c r="C8" s="4">
        <v>-3.9662374574738424E-2</v>
      </c>
      <c r="D8" s="3">
        <f t="shared" si="0"/>
        <v>-1.4154190255429442E-2</v>
      </c>
      <c r="E8" s="2">
        <f t="shared" si="1"/>
        <v>-3.1797789388744904E-2</v>
      </c>
      <c r="F8">
        <f t="shared" si="2"/>
        <v>1.011099410010978E-3</v>
      </c>
      <c r="G8" s="2">
        <f t="shared" si="3"/>
        <v>-2.5508184319308982E-2</v>
      </c>
      <c r="H8">
        <f t="shared" si="4"/>
        <v>6.5066746726784059E-4</v>
      </c>
      <c r="I8">
        <f t="shared" si="5"/>
        <v>4.6102995702065267E-4</v>
      </c>
      <c r="K8" t="s">
        <v>23</v>
      </c>
      <c r="L8" s="14">
        <f>L6/L5^2</f>
        <v>0.79098108435261605</v>
      </c>
    </row>
    <row r="9" spans="1:13" x14ac:dyDescent="0.2">
      <c r="A9" s="5">
        <v>40786</v>
      </c>
      <c r="B9" s="4">
        <v>-5.6790341241537701E-2</v>
      </c>
      <c r="C9" s="4">
        <v>-1.5524663677130013E-2</v>
      </c>
      <c r="D9" s="3">
        <f t="shared" si="0"/>
        <v>-4.2090640045412936E-2</v>
      </c>
      <c r="E9" s="2">
        <f t="shared" si="1"/>
        <v>-6.7116522469256271E-2</v>
      </c>
      <c r="F9">
        <f t="shared" si="2"/>
        <v>4.5046275883661819E-3</v>
      </c>
      <c r="G9" s="2">
        <f t="shared" si="3"/>
        <v>2.6565976368282923E-2</v>
      </c>
      <c r="H9">
        <f t="shared" si="4"/>
        <v>7.0575110040016671E-4</v>
      </c>
      <c r="I9">
        <f t="shared" si="5"/>
        <v>3.2251428583302977E-3</v>
      </c>
      <c r="K9" t="s">
        <v>22</v>
      </c>
      <c r="L9" s="13">
        <f>L3-L8*L2</f>
        <v>2.8294456505736469E-3</v>
      </c>
    </row>
    <row r="10" spans="1:13" x14ac:dyDescent="0.2">
      <c r="A10" s="5">
        <v>40816</v>
      </c>
      <c r="B10" s="4">
        <v>-7.1764477077923883E-2</v>
      </c>
      <c r="C10" s="4">
        <v>-2.7047709280397902E-2</v>
      </c>
      <c r="D10" s="3">
        <f t="shared" si="0"/>
        <v>-5.3934898246521049E-2</v>
      </c>
      <c r="E10" s="2">
        <f t="shared" si="1"/>
        <v>-8.2090658305642453E-2</v>
      </c>
      <c r="F10">
        <f t="shared" si="2"/>
        <v>6.7388761810537445E-3</v>
      </c>
      <c r="G10" s="2">
        <f t="shared" si="3"/>
        <v>2.6887188966123146E-2</v>
      </c>
      <c r="H10">
        <f t="shared" si="4"/>
        <v>7.2292093050001422E-4</v>
      </c>
      <c r="I10">
        <f t="shared" si="5"/>
        <v>5.1501401702678624E-3</v>
      </c>
    </row>
    <row r="11" spans="1:13" x14ac:dyDescent="0.2">
      <c r="A11" s="5">
        <v>40847</v>
      </c>
      <c r="B11" s="4">
        <v>0.10771938412454141</v>
      </c>
      <c r="C11" s="4">
        <v>9.5037453183520526E-2</v>
      </c>
      <c r="D11" s="3">
        <f t="shared" si="0"/>
        <v>8.8033440911199384E-2</v>
      </c>
      <c r="E11" s="2">
        <f t="shared" si="1"/>
        <v>9.7393202896822836E-2</v>
      </c>
      <c r="F11">
        <f t="shared" si="2"/>
        <v>9.4854359705017002E-3</v>
      </c>
      <c r="G11" s="2">
        <f t="shared" si="3"/>
        <v>7.0040122723211418E-3</v>
      </c>
      <c r="H11">
        <f t="shared" si="4"/>
        <v>4.9056187910825164E-5</v>
      </c>
      <c r="I11">
        <f t="shared" si="5"/>
        <v>1.1603465716170503E-2</v>
      </c>
      <c r="K11" t="s">
        <v>21</v>
      </c>
      <c r="L11">
        <f>COUNT(B2:B182)</f>
        <v>181</v>
      </c>
    </row>
    <row r="12" spans="1:13" x14ac:dyDescent="0.2">
      <c r="A12" s="5">
        <v>40877</v>
      </c>
      <c r="B12" s="4">
        <v>-5.0556261619931764E-3</v>
      </c>
      <c r="C12" s="4">
        <v>1.3253527148354038E-2</v>
      </c>
      <c r="D12" s="3">
        <f t="shared" si="0"/>
        <v>-1.1694590131211702E-3</v>
      </c>
      <c r="E12" s="2">
        <f t="shared" si="1"/>
        <v>-1.538180738971175E-2</v>
      </c>
      <c r="F12">
        <f t="shared" si="2"/>
        <v>2.3659999857419099E-4</v>
      </c>
      <c r="G12" s="2">
        <f t="shared" si="3"/>
        <v>1.4422986161475209E-2</v>
      </c>
      <c r="H12">
        <f t="shared" si="4"/>
        <v>2.0802252981410538E-4</v>
      </c>
      <c r="I12">
        <f t="shared" si="5"/>
        <v>2.5559355889829854E-5</v>
      </c>
    </row>
    <row r="13" spans="1:13" x14ac:dyDescent="0.2">
      <c r="A13" s="5">
        <v>40908</v>
      </c>
      <c r="B13" s="4">
        <v>8.5365504007079984E-3</v>
      </c>
      <c r="C13" s="4">
        <v>-3.1603375527426203E-2</v>
      </c>
      <c r="D13" s="3">
        <f t="shared" si="0"/>
        <v>9.5816955431564186E-3</v>
      </c>
      <c r="E13" s="2">
        <f t="shared" si="1"/>
        <v>-1.789630827010575E-3</v>
      </c>
      <c r="F13">
        <f t="shared" si="2"/>
        <v>3.2027784969865545E-6</v>
      </c>
      <c r="G13" s="2">
        <f t="shared" si="3"/>
        <v>-4.118507107058262E-2</v>
      </c>
      <c r="H13">
        <f t="shared" si="4"/>
        <v>1.6962100790889414E-3</v>
      </c>
      <c r="I13">
        <f t="shared" si="5"/>
        <v>7.2872692743827894E-5</v>
      </c>
      <c r="K13" t="s">
        <v>20</v>
      </c>
      <c r="L13">
        <f>SQRT(SUM(H2:H182)/(L11-2))</f>
        <v>3.5613402636566475E-2</v>
      </c>
      <c r="M13">
        <f>L13^2</f>
        <v>1.2683144473541999E-3</v>
      </c>
    </row>
    <row r="14" spans="1:13" x14ac:dyDescent="0.2">
      <c r="A14" s="5">
        <v>40939</v>
      </c>
      <c r="B14" s="4">
        <v>4.3578708271740929E-2</v>
      </c>
      <c r="C14" s="4">
        <v>2.7624068668031798E-2</v>
      </c>
      <c r="D14" s="3">
        <f t="shared" si="0"/>
        <v>3.72993795740416E-2</v>
      </c>
      <c r="E14" s="2">
        <f t="shared" si="1"/>
        <v>3.3252527044022359E-2</v>
      </c>
      <c r="F14">
        <f t="shared" si="2"/>
        <v>1.1057305548134383E-3</v>
      </c>
      <c r="G14" s="2">
        <f t="shared" si="3"/>
        <v>-9.6753109060098014E-3</v>
      </c>
      <c r="H14">
        <f t="shared" si="4"/>
        <v>9.361164112795221E-5</v>
      </c>
      <c r="I14">
        <f t="shared" si="5"/>
        <v>1.8991038146335014E-3</v>
      </c>
    </row>
    <row r="15" spans="1:13" x14ac:dyDescent="0.2">
      <c r="A15" s="5">
        <v>40968</v>
      </c>
      <c r="B15" s="4">
        <v>4.059183827413726E-2</v>
      </c>
      <c r="C15" s="4">
        <v>7.631969472132738E-5</v>
      </c>
      <c r="D15" s="3">
        <f t="shared" si="0"/>
        <v>3.493682190451676E-2</v>
      </c>
      <c r="E15" s="2">
        <f t="shared" si="1"/>
        <v>3.0265657046418686E-2</v>
      </c>
      <c r="F15">
        <f t="shared" si="2"/>
        <v>9.1600999645143305E-4</v>
      </c>
      <c r="G15" s="2">
        <f t="shared" si="3"/>
        <v>-3.4860502209795433E-2</v>
      </c>
      <c r="H15">
        <f t="shared" si="4"/>
        <v>1.2152546143191522E-3</v>
      </c>
      <c r="I15">
        <f t="shared" si="5"/>
        <v>1.6476973344737146E-3</v>
      </c>
      <c r="K15" t="s">
        <v>19</v>
      </c>
      <c r="L15" s="12">
        <f>L13*SQRT(SUM(I2:I182)/(L11*SUM(F2:F182)))</f>
        <v>2.7327029115100806E-3</v>
      </c>
    </row>
    <row r="16" spans="1:13" x14ac:dyDescent="0.2">
      <c r="A16" s="5">
        <v>40999</v>
      </c>
      <c r="B16" s="4">
        <v>3.1328759140914597E-2</v>
      </c>
      <c r="C16" s="4">
        <v>3.3628978920413166E-2</v>
      </c>
      <c r="D16" s="3">
        <f t="shared" si="0"/>
        <v>2.7609901527276208E-2</v>
      </c>
      <c r="E16" s="2">
        <f t="shared" si="1"/>
        <v>2.1002577913196024E-2</v>
      </c>
      <c r="F16">
        <f t="shared" si="2"/>
        <v>4.4110827899986944E-4</v>
      </c>
      <c r="G16" s="2">
        <f t="shared" si="3"/>
        <v>6.0190773931369582E-3</v>
      </c>
      <c r="H16">
        <f t="shared" si="4"/>
        <v>3.6229292664572401E-5</v>
      </c>
      <c r="I16">
        <f t="shared" si="5"/>
        <v>9.8149114930943995E-4</v>
      </c>
      <c r="K16" t="s">
        <v>18</v>
      </c>
      <c r="L16" s="11">
        <f>L13*SQRT(1/SUM(F2:F182))</f>
        <v>6.5709681043007409E-2</v>
      </c>
    </row>
    <row r="17" spans="1:21" x14ac:dyDescent="0.2">
      <c r="A17" s="5">
        <v>41029</v>
      </c>
      <c r="B17" s="4">
        <v>-7.4945725482297165E-3</v>
      </c>
      <c r="C17" s="4">
        <v>-9.0237899917965381E-3</v>
      </c>
      <c r="D17" s="3">
        <f t="shared" si="0"/>
        <v>-3.0986194703844427E-3</v>
      </c>
      <c r="E17" s="2">
        <f t="shared" si="1"/>
        <v>-1.782075377594829E-2</v>
      </c>
      <c r="F17">
        <f t="shared" si="2"/>
        <v>3.1757926514297525E-4</v>
      </c>
      <c r="G17" s="2">
        <f t="shared" si="3"/>
        <v>-5.9251705214120954E-3</v>
      </c>
      <c r="H17">
        <f t="shared" si="4"/>
        <v>3.5107645707810884E-5</v>
      </c>
      <c r="I17">
        <f t="shared" si="5"/>
        <v>5.6168617680678464E-5</v>
      </c>
    </row>
    <row r="18" spans="1:21" x14ac:dyDescent="0.2">
      <c r="A18" s="5">
        <v>41060</v>
      </c>
      <c r="B18" s="4">
        <v>-6.2652719835805892E-2</v>
      </c>
      <c r="C18" s="4">
        <v>-1.614238410596025E-2</v>
      </c>
      <c r="D18" s="3">
        <f t="shared" si="0"/>
        <v>-4.6727670622792761E-2</v>
      </c>
      <c r="E18" s="2">
        <f t="shared" si="1"/>
        <v>-7.2978901063524462E-2</v>
      </c>
      <c r="F18">
        <f t="shared" si="2"/>
        <v>5.3259200004396922E-3</v>
      </c>
      <c r="G18" s="2">
        <f t="shared" si="3"/>
        <v>3.0585286516832511E-2</v>
      </c>
      <c r="H18">
        <f t="shared" si="4"/>
        <v>9.3545975131673661E-4</v>
      </c>
      <c r="I18">
        <f t="shared" si="5"/>
        <v>3.9253633028239849E-3</v>
      </c>
      <c r="L18" t="s">
        <v>17</v>
      </c>
      <c r="M18" t="s">
        <v>16</v>
      </c>
    </row>
    <row r="19" spans="1:21" ht="16" thickBot="1" x14ac:dyDescent="0.25">
      <c r="A19" s="5">
        <v>41090</v>
      </c>
      <c r="B19" s="4">
        <v>3.9554751462240523E-2</v>
      </c>
      <c r="C19" s="4">
        <v>5.1283129995792986E-2</v>
      </c>
      <c r="D19" s="3">
        <f t="shared" si="0"/>
        <v>3.4116505853474879E-2</v>
      </c>
      <c r="E19" s="2">
        <f t="shared" si="1"/>
        <v>2.9228570234521949E-2</v>
      </c>
      <c r="F19">
        <f t="shared" si="2"/>
        <v>8.5430931795438248E-4</v>
      </c>
      <c r="G19" s="2">
        <f t="shared" si="3"/>
        <v>1.7166624142318107E-2</v>
      </c>
      <c r="H19">
        <f t="shared" si="4"/>
        <v>2.946929844436189E-4</v>
      </c>
      <c r="I19">
        <f t="shared" si="5"/>
        <v>1.5645783632396188E-3</v>
      </c>
      <c r="K19" t="s">
        <v>15</v>
      </c>
      <c r="L19">
        <f>L8/L16</f>
        <v>12.037512156464643</v>
      </c>
      <c r="M19">
        <f>(L8-1)/L16</f>
        <v>-3.1809455217196949</v>
      </c>
    </row>
    <row r="20" spans="1:21" ht="16" thickBot="1" x14ac:dyDescent="0.25">
      <c r="A20" s="5">
        <v>41121</v>
      </c>
      <c r="B20" s="4">
        <v>1.2601447074721328E-2</v>
      </c>
      <c r="C20" s="4">
        <v>2.0008803873704517E-2</v>
      </c>
      <c r="D20" s="3">
        <f t="shared" si="0"/>
        <v>1.2796951922148825E-2</v>
      </c>
      <c r="E20" s="2">
        <f t="shared" si="1"/>
        <v>2.2752658470027547E-3</v>
      </c>
      <c r="F20">
        <f t="shared" si="2"/>
        <v>5.1768346745371624E-6</v>
      </c>
      <c r="G20" s="2">
        <f t="shared" si="3"/>
        <v>7.2118519515556919E-3</v>
      </c>
      <c r="H20">
        <f t="shared" si="4"/>
        <v>5.2010808571157639E-5</v>
      </c>
      <c r="I20">
        <f t="shared" si="5"/>
        <v>1.5879646837700271E-4</v>
      </c>
      <c r="K20" t="s">
        <v>14</v>
      </c>
      <c r="L20" s="10">
        <f>L9/L15</f>
        <v>1.035401850181404</v>
      </c>
      <c r="Q20" s="9"/>
    </row>
    <row r="21" spans="1:21" ht="16" thickBot="1" x14ac:dyDescent="0.25">
      <c r="A21" s="5">
        <v>41152</v>
      </c>
      <c r="B21" s="4">
        <v>1.9757325811015525E-2</v>
      </c>
      <c r="C21" s="4">
        <v>-6.9449566479657943E-3</v>
      </c>
      <c r="D21" s="3">
        <f t="shared" si="0"/>
        <v>1.8457116644478636E-2</v>
      </c>
      <c r="E21" s="2">
        <f t="shared" si="1"/>
        <v>9.4311445832969514E-3</v>
      </c>
      <c r="F21">
        <f t="shared" si="2"/>
        <v>8.8946488151051426E-5</v>
      </c>
      <c r="G21" s="2">
        <f t="shared" si="3"/>
        <v>-2.540207329244443E-2</v>
      </c>
      <c r="H21">
        <f t="shared" si="4"/>
        <v>6.452653275547186E-4</v>
      </c>
      <c r="I21">
        <f t="shared" si="5"/>
        <v>3.9035192320262024E-4</v>
      </c>
      <c r="Q21" s="9"/>
    </row>
    <row r="22" spans="1:21" ht="16" thickBot="1" x14ac:dyDescent="0.25">
      <c r="A22" s="5">
        <v>41182</v>
      </c>
      <c r="B22" s="4">
        <v>2.4242445387785638E-2</v>
      </c>
      <c r="C22" s="4">
        <v>4.8515367031737533E-2</v>
      </c>
      <c r="D22" s="3">
        <f t="shared" si="0"/>
        <v>2.2004761390763405E-2</v>
      </c>
      <c r="E22" s="2">
        <f t="shared" si="1"/>
        <v>1.3916264160067065E-2</v>
      </c>
      <c r="F22">
        <f t="shared" si="2"/>
        <v>1.9366240817276709E-4</v>
      </c>
      <c r="G22" s="2">
        <f t="shared" si="3"/>
        <v>2.6510605640974128E-2</v>
      </c>
      <c r="H22">
        <f t="shared" si="4"/>
        <v>7.0281221145124923E-4</v>
      </c>
      <c r="I22">
        <f t="shared" si="5"/>
        <v>5.8769615837976912E-4</v>
      </c>
      <c r="K22" t="s">
        <v>13</v>
      </c>
      <c r="L22" s="8">
        <f>_xlfn.T.INV(0.975,L11-2)</f>
        <v>1.9733054338414706</v>
      </c>
      <c r="M22" s="7">
        <v>0.95</v>
      </c>
      <c r="Q22" s="9"/>
    </row>
    <row r="23" spans="1:21" ht="16" thickBot="1" x14ac:dyDescent="0.25">
      <c r="A23" s="5">
        <v>41213</v>
      </c>
      <c r="B23" s="4">
        <v>-1.9793874212047369E-2</v>
      </c>
      <c r="C23" s="4">
        <v>-2.4076865109268986E-2</v>
      </c>
      <c r="D23" s="3">
        <f t="shared" si="0"/>
        <v>-1.2827134437210865E-2</v>
      </c>
      <c r="E23" s="2">
        <f t="shared" si="1"/>
        <v>-3.0120055439765942E-2</v>
      </c>
      <c r="F23">
        <f t="shared" si="2"/>
        <v>9.0721773969457391E-4</v>
      </c>
      <c r="G23" s="2">
        <f t="shared" si="3"/>
        <v>-1.124973067205812E-2</v>
      </c>
      <c r="H23">
        <f t="shared" si="4"/>
        <v>1.2655644019384524E-4</v>
      </c>
      <c r="I23">
        <f t="shared" si="5"/>
        <v>3.9179745632235386E-4</v>
      </c>
      <c r="L23" s="8">
        <f>_xlfn.T.INV(0.995,L11-2)</f>
        <v>2.6035739121804711</v>
      </c>
      <c r="M23" s="7">
        <v>0.99</v>
      </c>
      <c r="Q23" s="9"/>
    </row>
    <row r="24" spans="1:21" ht="16" thickBot="1" x14ac:dyDescent="0.25">
      <c r="A24" s="5">
        <v>41243</v>
      </c>
      <c r="B24" s="4">
        <v>2.8492542936535692E-3</v>
      </c>
      <c r="C24" s="4">
        <v>1.8617041813057345E-2</v>
      </c>
      <c r="D24" s="3">
        <f t="shared" si="0"/>
        <v>5.0831519013640938E-3</v>
      </c>
      <c r="E24" s="2">
        <f t="shared" si="1"/>
        <v>-7.4769269340650042E-3</v>
      </c>
      <c r="F24">
        <f t="shared" si="2"/>
        <v>5.5904436377346705E-5</v>
      </c>
      <c r="G24" s="2">
        <f t="shared" si="3"/>
        <v>1.3533889911693251E-2</v>
      </c>
      <c r="H24">
        <f t="shared" si="4"/>
        <v>1.8316617614183234E-4</v>
      </c>
      <c r="I24">
        <f t="shared" si="5"/>
        <v>8.1182500299033002E-6</v>
      </c>
      <c r="Q24" s="9"/>
    </row>
    <row r="25" spans="1:21" ht="16" thickBot="1" x14ac:dyDescent="0.25">
      <c r="A25" s="5">
        <v>41274</v>
      </c>
      <c r="B25" s="4">
        <v>7.0657664069984083E-3</v>
      </c>
      <c r="C25" s="4">
        <v>1.6252766912277616E-2</v>
      </c>
      <c r="D25" s="3">
        <f t="shared" si="0"/>
        <v>8.4183332249635357E-3</v>
      </c>
      <c r="E25" s="2">
        <f t="shared" si="1"/>
        <v>-3.2604148207201651E-3</v>
      </c>
      <c r="F25">
        <f t="shared" si="2"/>
        <v>1.0630304803171706E-5</v>
      </c>
      <c r="G25" s="2">
        <f t="shared" si="3"/>
        <v>7.8344336873140807E-3</v>
      </c>
      <c r="H25">
        <f t="shared" si="4"/>
        <v>6.1378351200921705E-5</v>
      </c>
      <c r="I25">
        <f t="shared" si="5"/>
        <v>4.9925054918267193E-5</v>
      </c>
      <c r="Q25" s="9"/>
    </row>
    <row r="26" spans="1:21" ht="16" thickBot="1" x14ac:dyDescent="0.25">
      <c r="A26" s="5">
        <v>41305</v>
      </c>
      <c r="B26" s="4">
        <v>5.043020173049606E-2</v>
      </c>
      <c r="C26" s="4">
        <v>8.8132179621065232E-2</v>
      </c>
      <c r="D26" s="3">
        <f t="shared" si="0"/>
        <v>4.2718781299482589E-2</v>
      </c>
      <c r="E26" s="2">
        <f t="shared" si="1"/>
        <v>4.010402050277749E-2</v>
      </c>
      <c r="F26">
        <f t="shared" si="2"/>
        <v>1.6083324604871973E-3</v>
      </c>
      <c r="G26" s="2">
        <f t="shared" si="3"/>
        <v>4.5413398321582643E-2</v>
      </c>
      <c r="H26">
        <f t="shared" si="4"/>
        <v>2.0623767471147254E-3</v>
      </c>
      <c r="I26">
        <f t="shared" si="5"/>
        <v>2.5432052465785278E-3</v>
      </c>
      <c r="Q26" s="9"/>
    </row>
    <row r="27" spans="1:21" ht="16" thickBot="1" x14ac:dyDescent="0.25">
      <c r="A27" s="5">
        <v>41333</v>
      </c>
      <c r="B27" s="4">
        <v>1.1058821970285848E-2</v>
      </c>
      <c r="C27" s="4">
        <v>4.6101113967437879E-2</v>
      </c>
      <c r="D27" s="3">
        <f t="shared" si="0"/>
        <v>1.1576764644292881E-2</v>
      </c>
      <c r="E27" s="2">
        <f t="shared" si="1"/>
        <v>7.3264074256727471E-4</v>
      </c>
      <c r="F27">
        <f t="shared" si="2"/>
        <v>5.3676245766952773E-7</v>
      </c>
      <c r="G27" s="2">
        <f t="shared" si="3"/>
        <v>3.4524349323145E-2</v>
      </c>
      <c r="H27">
        <f t="shared" si="4"/>
        <v>1.1919306961865426E-3</v>
      </c>
      <c r="I27">
        <f t="shared" si="5"/>
        <v>1.2229754337047697E-4</v>
      </c>
      <c r="Q27" s="9"/>
    </row>
    <row r="28" spans="1:21" ht="16" thickBot="1" x14ac:dyDescent="0.25">
      <c r="A28" s="5">
        <v>41364</v>
      </c>
      <c r="B28" s="4">
        <v>3.5986259325691883E-2</v>
      </c>
      <c r="C28" s="4">
        <v>2.4115334207077233E-2</v>
      </c>
      <c r="D28" s="3">
        <f t="shared" si="0"/>
        <v>3.1293896073803854E-2</v>
      </c>
      <c r="E28" s="2">
        <f t="shared" si="1"/>
        <v>2.5660078097973309E-2</v>
      </c>
      <c r="F28">
        <f t="shared" si="2"/>
        <v>6.5843960799408957E-4</v>
      </c>
      <c r="G28" s="2">
        <f t="shared" si="3"/>
        <v>-7.178561866726621E-3</v>
      </c>
      <c r="H28">
        <f t="shared" si="4"/>
        <v>5.1531750474421592E-5</v>
      </c>
      <c r="I28">
        <f t="shared" si="5"/>
        <v>1.295010860255946E-3</v>
      </c>
      <c r="Q28" s="9"/>
      <c r="R28" s="6" t="s">
        <v>12</v>
      </c>
      <c r="S28" s="6" t="s">
        <v>11</v>
      </c>
      <c r="T28" s="6" t="s">
        <v>10</v>
      </c>
      <c r="U28" s="6" t="s">
        <v>9</v>
      </c>
    </row>
    <row r="29" spans="1:21" ht="16" thickBot="1" x14ac:dyDescent="0.25">
      <c r="A29" s="5">
        <v>41394</v>
      </c>
      <c r="B29" s="4">
        <v>1.8085682553137694E-2</v>
      </c>
      <c r="C29" s="4">
        <v>1.7404658305605336E-2</v>
      </c>
      <c r="D29" s="3">
        <f t="shared" si="0"/>
        <v>1.713487844771169E-2</v>
      </c>
      <c r="E29" s="2">
        <f t="shared" si="1"/>
        <v>7.7595013254191207E-3</v>
      </c>
      <c r="F29">
        <f t="shared" si="2"/>
        <v>6.0209860819181093E-5</v>
      </c>
      <c r="G29" s="2">
        <f t="shared" si="3"/>
        <v>2.6977985789364625E-4</v>
      </c>
      <c r="H29">
        <f t="shared" si="4"/>
        <v>7.2781171725115968E-8</v>
      </c>
      <c r="I29">
        <f t="shared" si="5"/>
        <v>3.2709191341286916E-4</v>
      </c>
      <c r="Q29" s="9"/>
      <c r="R29">
        <v>0.18378091818264292</v>
      </c>
      <c r="S29">
        <v>0.18378091818264292</v>
      </c>
      <c r="T29">
        <v>144.90169891703422</v>
      </c>
      <c r="U29">
        <v>7.8527850677264995E-25</v>
      </c>
    </row>
    <row r="30" spans="1:21" ht="16" thickBot="1" x14ac:dyDescent="0.25">
      <c r="A30" s="5">
        <v>41425</v>
      </c>
      <c r="B30" s="4">
        <v>2.0766732418904477E-2</v>
      </c>
      <c r="C30" s="4">
        <v>7.735849056603783E-2</v>
      </c>
      <c r="D30" s="3">
        <f t="shared" si="0"/>
        <v>1.9255538177739336E-2</v>
      </c>
      <c r="E30" s="2">
        <f t="shared" si="1"/>
        <v>1.0440551191185903E-2</v>
      </c>
      <c r="F30">
        <f t="shared" si="2"/>
        <v>1.0900510917577338E-4</v>
      </c>
      <c r="G30" s="2">
        <f t="shared" si="3"/>
        <v>5.810295238829849E-2</v>
      </c>
      <c r="H30">
        <f t="shared" si="4"/>
        <v>3.3759530762368811E-3</v>
      </c>
      <c r="I30">
        <f t="shared" si="5"/>
        <v>4.3125717535837815E-4</v>
      </c>
      <c r="Q30" s="9"/>
      <c r="R30">
        <v>0.2270282860764018</v>
      </c>
      <c r="S30">
        <v>1.2683144473541999E-3</v>
      </c>
    </row>
    <row r="31" spans="1:21" ht="16" thickBot="1" x14ac:dyDescent="0.25">
      <c r="A31" s="5">
        <v>41455</v>
      </c>
      <c r="B31" s="4">
        <v>-1.5001933320248795E-2</v>
      </c>
      <c r="C31" s="4">
        <v>-1.5761821366024553E-2</v>
      </c>
      <c r="D31" s="3">
        <f t="shared" si="0"/>
        <v>-9.0367998344623862E-3</v>
      </c>
      <c r="E31" s="2">
        <f t="shared" si="1"/>
        <v>-2.5328114547967368E-2</v>
      </c>
      <c r="F31">
        <f t="shared" si="2"/>
        <v>6.4151338655495625E-4</v>
      </c>
      <c r="G31" s="2">
        <f t="shared" si="3"/>
        <v>-6.725021531562167E-3</v>
      </c>
      <c r="H31">
        <f t="shared" si="4"/>
        <v>4.5225914599974756E-5</v>
      </c>
      <c r="I31">
        <f t="shared" si="5"/>
        <v>2.2505800334519103E-4</v>
      </c>
      <c r="Q31" s="9"/>
      <c r="R31" s="1">
        <v>0.41080920425904471</v>
      </c>
      <c r="S31" s="1"/>
      <c r="T31" s="1"/>
      <c r="U31" s="1"/>
    </row>
    <row r="32" spans="1:21" ht="16" thickBot="1" x14ac:dyDescent="0.25">
      <c r="A32" s="5">
        <v>41486</v>
      </c>
      <c r="B32" s="4">
        <v>4.9460571279654753E-2</v>
      </c>
      <c r="C32" s="4">
        <v>3.1435349940688084E-2</v>
      </c>
      <c r="D32" s="3">
        <f t="shared" si="0"/>
        <v>4.1951821954054822E-2</v>
      </c>
      <c r="E32" s="2">
        <f t="shared" si="1"/>
        <v>3.9134390051936183E-2</v>
      </c>
      <c r="F32">
        <f t="shared" si="2"/>
        <v>1.5315004847370817E-3</v>
      </c>
      <c r="G32" s="2">
        <f t="shared" si="3"/>
        <v>-1.0516472013366737E-2</v>
      </c>
      <c r="H32">
        <f t="shared" si="4"/>
        <v>1.1059618360792583E-4</v>
      </c>
      <c r="I32">
        <f t="shared" si="5"/>
        <v>2.4463481113098087E-3</v>
      </c>
      <c r="Q32" s="9"/>
    </row>
    <row r="33" spans="1:24" ht="16" thickBot="1" x14ac:dyDescent="0.25">
      <c r="A33" s="5">
        <v>41517</v>
      </c>
      <c r="B33" s="4">
        <v>-3.1294465537713201E-2</v>
      </c>
      <c r="C33" s="4">
        <v>-3.9390454284071286E-2</v>
      </c>
      <c r="D33" s="3">
        <f t="shared" si="0"/>
        <v>-2.1923884634682315E-2</v>
      </c>
      <c r="E33" s="2">
        <f t="shared" si="1"/>
        <v>-4.1620646765431771E-2</v>
      </c>
      <c r="F33">
        <f t="shared" si="2"/>
        <v>1.7322782371728461E-3</v>
      </c>
      <c r="G33" s="2">
        <f t="shared" si="3"/>
        <v>-1.7466569649388971E-2</v>
      </c>
      <c r="H33">
        <f t="shared" si="4"/>
        <v>3.0508105531695595E-4</v>
      </c>
      <c r="I33">
        <f t="shared" si="5"/>
        <v>9.7934357329111914E-4</v>
      </c>
      <c r="Q33" s="9"/>
      <c r="R33" s="6" t="s">
        <v>7</v>
      </c>
      <c r="S33" s="6" t="s">
        <v>6</v>
      </c>
      <c r="T33" s="6" t="s">
        <v>5</v>
      </c>
      <c r="U33" s="6" t="s">
        <v>4</v>
      </c>
      <c r="V33" s="6" t="s">
        <v>3</v>
      </c>
      <c r="W33" s="6" t="s">
        <v>2</v>
      </c>
      <c r="X33" s="6" t="s">
        <v>1</v>
      </c>
    </row>
    <row r="34" spans="1:24" ht="16" thickBot="1" x14ac:dyDescent="0.25">
      <c r="A34" s="5">
        <v>41547</v>
      </c>
      <c r="B34" s="4">
        <v>2.9746704101058397E-2</v>
      </c>
      <c r="C34" s="4">
        <v>2.0113738401676073E-2</v>
      </c>
      <c r="D34" s="3">
        <f t="shared" ref="D34:D65" si="6">B34*$L$8+$L$9</f>
        <v>2.635852591634523E-2</v>
      </c>
      <c r="E34" s="2">
        <f t="shared" ref="E34:E65" si="7">B34-$L$2</f>
        <v>1.9420522873339823E-2</v>
      </c>
      <c r="F34">
        <f t="shared" ref="F34:F65" si="8">E34^2</f>
        <v>3.7715670867391525E-4</v>
      </c>
      <c r="G34" s="2">
        <f t="shared" ref="G34:G65" si="9">C34-D34</f>
        <v>-6.2447875146691562E-3</v>
      </c>
      <c r="H34">
        <f t="shared" ref="H34:H65" si="10">G34^2</f>
        <v>3.8997371103367775E-5</v>
      </c>
      <c r="I34">
        <f t="shared" ref="I34:I65" si="11">B34^2</f>
        <v>8.8486640487592445E-4</v>
      </c>
      <c r="Q34" s="9"/>
      <c r="R34">
        <v>2.7327029115100814E-3</v>
      </c>
      <c r="S34">
        <v>1.0354018501814042</v>
      </c>
      <c r="T34">
        <v>0.30187804419954034</v>
      </c>
      <c r="U34">
        <v>-2.5630118537836024E-3</v>
      </c>
      <c r="V34">
        <v>8.2219031549309006E-3</v>
      </c>
      <c r="W34">
        <v>-2.5630118537836024E-3</v>
      </c>
      <c r="X34">
        <v>8.2219031549309006E-3</v>
      </c>
    </row>
    <row r="35" spans="1:24" ht="16" thickBot="1" x14ac:dyDescent="0.25">
      <c r="A35" s="5">
        <v>41578</v>
      </c>
      <c r="B35" s="4">
        <v>4.4600588960842513E-2</v>
      </c>
      <c r="C35" s="4">
        <v>1.5168123936388556E-2</v>
      </c>
      <c r="D35" s="3">
        <f t="shared" si="6"/>
        <v>3.8107667869586179E-2</v>
      </c>
      <c r="E35" s="2">
        <f t="shared" si="7"/>
        <v>3.4274407733123943E-2</v>
      </c>
      <c r="F35">
        <f t="shared" si="8"/>
        <v>1.1747350254564263E-3</v>
      </c>
      <c r="G35" s="2">
        <f t="shared" si="9"/>
        <v>-2.2939543933197623E-2</v>
      </c>
      <c r="H35">
        <f t="shared" si="10"/>
        <v>5.2622267586310389E-4</v>
      </c>
      <c r="I35">
        <f t="shared" si="11"/>
        <v>1.989212535654027E-3</v>
      </c>
      <c r="Q35" s="9"/>
      <c r="R35" s="1">
        <v>6.5709681043007409E-2</v>
      </c>
      <c r="S35" s="1">
        <v>12.037512156464642</v>
      </c>
      <c r="T35" s="1">
        <v>7.8527850677268944E-25</v>
      </c>
      <c r="U35" s="1">
        <v>0.66131581369445958</v>
      </c>
      <c r="V35" s="1">
        <v>0.9206463550107723</v>
      </c>
      <c r="W35" s="1">
        <v>0.66131581369445958</v>
      </c>
      <c r="X35" s="1">
        <v>0.9206463550107723</v>
      </c>
    </row>
    <row r="36" spans="1:24" ht="16" thickBot="1" x14ac:dyDescent="0.25">
      <c r="A36" s="5">
        <v>41608</v>
      </c>
      <c r="B36" s="4">
        <v>2.804827958869982E-2</v>
      </c>
      <c r="C36" s="4">
        <v>1.0145969705447788E-2</v>
      </c>
      <c r="D36" s="3">
        <f t="shared" si="6"/>
        <v>2.501510425386878E-2</v>
      </c>
      <c r="E36" s="2">
        <f t="shared" si="7"/>
        <v>1.7722098360981247E-2</v>
      </c>
      <c r="F36">
        <f t="shared" si="8"/>
        <v>3.1407277031629419E-4</v>
      </c>
      <c r="G36" s="2">
        <f t="shared" si="9"/>
        <v>-1.4869134548420992E-2</v>
      </c>
      <c r="H36">
        <f t="shared" si="10"/>
        <v>2.2109116221904674E-4</v>
      </c>
      <c r="I36">
        <f t="shared" si="11"/>
        <v>7.8670598788587495E-4</v>
      </c>
      <c r="Q36" s="9"/>
    </row>
    <row r="37" spans="1:24" ht="16" thickBot="1" x14ac:dyDescent="0.25">
      <c r="A37" s="5">
        <v>41639</v>
      </c>
      <c r="B37" s="4">
        <v>2.3559382769622994E-2</v>
      </c>
      <c r="C37" s="4">
        <v>1.8025751072961338E-2</v>
      </c>
      <c r="D37" s="3">
        <f t="shared" si="6"/>
        <v>2.146447178036838E-2</v>
      </c>
      <c r="E37" s="2">
        <f t="shared" si="7"/>
        <v>1.3233201541904421E-2</v>
      </c>
      <c r="F37">
        <f t="shared" si="8"/>
        <v>1.7511762304866154E-4</v>
      </c>
      <c r="G37" s="2">
        <f t="shared" si="9"/>
        <v>-3.4387207074070419E-3</v>
      </c>
      <c r="H37">
        <f t="shared" si="10"/>
        <v>1.1824800103549987E-5</v>
      </c>
      <c r="I37">
        <f t="shared" si="11"/>
        <v>5.5504451648560882E-4</v>
      </c>
      <c r="Q37" s="9"/>
    </row>
    <row r="38" spans="1:24" ht="16" thickBot="1" x14ac:dyDescent="0.25">
      <c r="A38" s="5">
        <v>41670</v>
      </c>
      <c r="B38" s="4">
        <v>-3.5582720880623198E-2</v>
      </c>
      <c r="C38" s="4">
        <v>-4.715064643057898E-2</v>
      </c>
      <c r="D38" s="3">
        <f t="shared" si="6"/>
        <v>-2.5315813495798162E-2</v>
      </c>
      <c r="E38" s="2">
        <f t="shared" si="7"/>
        <v>-4.5908902108341768E-2</v>
      </c>
      <c r="F38">
        <f t="shared" si="8"/>
        <v>2.1076272927933073E-3</v>
      </c>
      <c r="G38" s="2">
        <f t="shared" si="9"/>
        <v>-2.1834832934780817E-2</v>
      </c>
      <c r="H38">
        <f t="shared" si="10"/>
        <v>4.7675992928978905E-4</v>
      </c>
      <c r="I38">
        <f t="shared" si="11"/>
        <v>1.2661300252683381E-3</v>
      </c>
      <c r="Q38" s="9"/>
    </row>
    <row r="39" spans="1:24" ht="16" thickBot="1" x14ac:dyDescent="0.25">
      <c r="A39" s="5">
        <v>41698</v>
      </c>
      <c r="B39" s="4">
        <v>4.3118460223648736E-2</v>
      </c>
      <c r="C39" s="4">
        <v>2.4754014319938733E-2</v>
      </c>
      <c r="D39" s="3">
        <f t="shared" si="6"/>
        <v>3.6935332073890464E-2</v>
      </c>
      <c r="E39" s="2">
        <f t="shared" si="7"/>
        <v>3.2792278995930166E-2</v>
      </c>
      <c r="F39">
        <f t="shared" si="8"/>
        <v>1.0753335617469228E-3</v>
      </c>
      <c r="G39" s="2">
        <f t="shared" si="9"/>
        <v>-1.2181317753951731E-2</v>
      </c>
      <c r="H39">
        <f t="shared" si="10"/>
        <v>1.4838450222273965E-4</v>
      </c>
      <c r="I39">
        <f t="shared" si="11"/>
        <v>1.8592016120583782E-3</v>
      </c>
      <c r="Q39" s="9"/>
    </row>
    <row r="40" spans="1:24" ht="16" thickBot="1" x14ac:dyDescent="0.25">
      <c r="A40" s="5">
        <v>41729</v>
      </c>
      <c r="B40" s="4">
        <v>6.9299048525690576E-3</v>
      </c>
      <c r="C40" s="4">
        <v>7.8534379533469867E-2</v>
      </c>
      <c r="D40" s="3">
        <f t="shared" si="6"/>
        <v>8.3108693053191747E-3</v>
      </c>
      <c r="E40" s="2">
        <f t="shared" si="7"/>
        <v>-3.3962763751495158E-3</v>
      </c>
      <c r="F40">
        <f t="shared" si="8"/>
        <v>1.1534693216398735E-5</v>
      </c>
      <c r="G40" s="2">
        <f t="shared" si="9"/>
        <v>7.0223510228150696E-2</v>
      </c>
      <c r="H40">
        <f t="shared" si="10"/>
        <v>4.9313413887631854E-3</v>
      </c>
      <c r="I40">
        <f t="shared" si="11"/>
        <v>4.8023581265660175E-5</v>
      </c>
      <c r="Q40" s="9"/>
    </row>
    <row r="41" spans="1:24" ht="16" thickBot="1" x14ac:dyDescent="0.25">
      <c r="A41" s="5">
        <v>41759</v>
      </c>
      <c r="B41" s="4">
        <v>6.2034572293734325E-3</v>
      </c>
      <c r="C41" s="4">
        <v>3.1625024919929468E-2</v>
      </c>
      <c r="D41" s="3">
        <f t="shared" si="6"/>
        <v>7.7362629765985198E-3</v>
      </c>
      <c r="E41" s="2">
        <f t="shared" si="7"/>
        <v>-4.1227239983451409E-3</v>
      </c>
      <c r="F41">
        <f t="shared" si="8"/>
        <v>1.6996853166530944E-5</v>
      </c>
      <c r="G41" s="2">
        <f t="shared" si="9"/>
        <v>2.3888761943330949E-2</v>
      </c>
      <c r="H41">
        <f t="shared" si="10"/>
        <v>5.7067294718513711E-4</v>
      </c>
      <c r="I41">
        <f t="shared" si="11"/>
        <v>3.8482881596665504E-5</v>
      </c>
      <c r="Q41" s="9"/>
      <c r="R41" s="6" t="s">
        <v>0</v>
      </c>
    </row>
    <row r="42" spans="1:24" ht="16" thickBot="1" x14ac:dyDescent="0.25">
      <c r="A42" s="5">
        <v>41790</v>
      </c>
      <c r="B42" s="4">
        <v>2.1031623713360315E-2</v>
      </c>
      <c r="C42" s="4">
        <v>-6.5968180054326586E-3</v>
      </c>
      <c r="D42" s="3">
        <f t="shared" si="6"/>
        <v>1.9465062181063583E-2</v>
      </c>
      <c r="E42" s="2">
        <f t="shared" si="7"/>
        <v>1.0705442485641741E-2</v>
      </c>
      <c r="F42">
        <f t="shared" si="8"/>
        <v>1.1460649881338322E-4</v>
      </c>
      <c r="G42" s="2">
        <f t="shared" si="9"/>
        <v>-2.6061880186496241E-2</v>
      </c>
      <c r="H42">
        <f t="shared" si="10"/>
        <v>6.7922159885528538E-4</v>
      </c>
      <c r="I42">
        <f t="shared" si="11"/>
        <v>4.4232919602037993E-4</v>
      </c>
      <c r="Q42" s="9"/>
      <c r="R42">
        <v>-4.3479886411292232E-3</v>
      </c>
    </row>
    <row r="43" spans="1:24" ht="16" thickBot="1" x14ac:dyDescent="0.25">
      <c r="A43" s="5">
        <v>41820</v>
      </c>
      <c r="B43" s="4">
        <v>1.9057548724431106E-2</v>
      </c>
      <c r="C43" s="4">
        <v>-1.0934895833333291E-2</v>
      </c>
      <c r="D43" s="3">
        <f t="shared" si="6"/>
        <v>1.790360620572698E-2</v>
      </c>
      <c r="E43" s="2">
        <f t="shared" si="7"/>
        <v>8.7313674967125325E-3</v>
      </c>
      <c r="F43">
        <f t="shared" si="8"/>
        <v>7.6236778362648078E-5</v>
      </c>
      <c r="G43" s="2">
        <f t="shared" si="9"/>
        <v>-2.8838502039060271E-2</v>
      </c>
      <c r="H43">
        <f t="shared" si="10"/>
        <v>8.3165919985688343E-4</v>
      </c>
      <c r="I43">
        <f t="shared" si="11"/>
        <v>3.6319016338406566E-4</v>
      </c>
      <c r="Q43" s="9"/>
      <c r="R43">
        <v>4.438486658077765E-2</v>
      </c>
    </row>
    <row r="44" spans="1:24" ht="16" thickBot="1" x14ac:dyDescent="0.25">
      <c r="A44" s="5">
        <v>41851</v>
      </c>
      <c r="B44" s="4">
        <v>-1.5078511662157346E-2</v>
      </c>
      <c r="C44" s="4">
        <v>-9.3548990129040943E-3</v>
      </c>
      <c r="D44" s="3">
        <f t="shared" si="6"/>
        <v>-9.0973718543831371E-3</v>
      </c>
      <c r="E44" s="2">
        <f t="shared" si="7"/>
        <v>-2.5404692889875919E-2</v>
      </c>
      <c r="F44">
        <f t="shared" si="8"/>
        <v>6.4539842082891213E-4</v>
      </c>
      <c r="G44" s="2">
        <f t="shared" si="9"/>
        <v>-2.5752715852095723E-4</v>
      </c>
      <c r="H44">
        <f t="shared" si="10"/>
        <v>6.6320237375878229E-8</v>
      </c>
      <c r="I44">
        <f t="shared" si="11"/>
        <v>2.2736151394581509E-4</v>
      </c>
      <c r="Q44" s="9"/>
      <c r="R44">
        <v>-4.7693475721866094E-2</v>
      </c>
    </row>
    <row r="45" spans="1:24" ht="16" thickBot="1" x14ac:dyDescent="0.25">
      <c r="A45" s="5">
        <v>41882</v>
      </c>
      <c r="B45" s="4">
        <v>3.7652047716220105E-2</v>
      </c>
      <c r="C45" s="4">
        <v>9.438455486806574E-2</v>
      </c>
      <c r="D45" s="3">
        <f t="shared" si="6"/>
        <v>3.2611503181245866E-2</v>
      </c>
      <c r="E45" s="2">
        <f t="shared" si="7"/>
        <v>2.7325866488501532E-2</v>
      </c>
      <c r="F45">
        <f t="shared" si="8"/>
        <v>7.4670297934741102E-4</v>
      </c>
      <c r="G45" s="2">
        <f t="shared" si="9"/>
        <v>6.1773051686819874E-2</v>
      </c>
      <c r="H45">
        <f t="shared" si="10"/>
        <v>3.8159099147025196E-3</v>
      </c>
      <c r="I45">
        <f t="shared" si="11"/>
        <v>1.4176766972245156E-3</v>
      </c>
      <c r="Q45" s="9"/>
      <c r="R45">
        <v>-2.9761532581219684E-2</v>
      </c>
    </row>
    <row r="46" spans="1:24" ht="16" thickBot="1" x14ac:dyDescent="0.25">
      <c r="A46" s="5">
        <v>41912</v>
      </c>
      <c r="B46" s="4">
        <v>-1.55151500505194E-2</v>
      </c>
      <c r="C46" s="4">
        <v>4.9543423353408667E-3</v>
      </c>
      <c r="D46" s="3">
        <f t="shared" si="6"/>
        <v>-9.4427445602797335E-3</v>
      </c>
      <c r="E46" s="2">
        <f t="shared" si="7"/>
        <v>-2.5841331278237973E-2</v>
      </c>
      <c r="F46">
        <f t="shared" si="8"/>
        <v>6.6777440223164024E-4</v>
      </c>
      <c r="G46" s="2">
        <f t="shared" si="9"/>
        <v>1.43970868956206E-2</v>
      </c>
      <c r="H46">
        <f t="shared" si="10"/>
        <v>2.072761110800504E-4</v>
      </c>
      <c r="I46">
        <f t="shared" si="11"/>
        <v>2.4071988109013214E-4</v>
      </c>
      <c r="Q46" s="9"/>
      <c r="R46">
        <v>-4.0043448385687699E-2</v>
      </c>
    </row>
    <row r="47" spans="1:24" ht="16" thickBot="1" x14ac:dyDescent="0.25">
      <c r="A47" s="5">
        <v>41943</v>
      </c>
      <c r="B47" s="4">
        <v>2.3206258162649318E-2</v>
      </c>
      <c r="C47" s="4">
        <v>1.4983083615273118E-2</v>
      </c>
      <c r="D47" s="3">
        <f t="shared" si="6"/>
        <v>2.1185156895832752E-2</v>
      </c>
      <c r="E47" s="2">
        <f t="shared" si="7"/>
        <v>1.2880076934930745E-2</v>
      </c>
      <c r="F47">
        <f t="shared" si="8"/>
        <v>1.6589638184973498E-4</v>
      </c>
      <c r="G47" s="2">
        <f t="shared" si="9"/>
        <v>-6.2020732805596335E-3</v>
      </c>
      <c r="H47">
        <f t="shared" si="10"/>
        <v>3.8465712977431731E-5</v>
      </c>
      <c r="I47">
        <f t="shared" si="11"/>
        <v>5.3853041791152815E-4</v>
      </c>
      <c r="Q47" s="9"/>
      <c r="R47">
        <v>-1.0868559177510288E-2</v>
      </c>
    </row>
    <row r="48" spans="1:24" ht="16" thickBot="1" x14ac:dyDescent="0.25">
      <c r="A48" s="5">
        <v>41973</v>
      </c>
      <c r="B48" s="4">
        <v>2.4532311268006479E-2</v>
      </c>
      <c r="C48" s="4">
        <v>6.2214285714285777E-2</v>
      </c>
      <c r="D48" s="3">
        <f t="shared" si="6"/>
        <v>2.2234039819017313E-2</v>
      </c>
      <c r="E48" s="2">
        <f t="shared" si="7"/>
        <v>1.4206130040287906E-2</v>
      </c>
      <c r="F48">
        <f t="shared" si="8"/>
        <v>2.0181413072157045E-4</v>
      </c>
      <c r="G48" s="2">
        <f t="shared" si="9"/>
        <v>3.9980245895268468E-2</v>
      </c>
      <c r="H48">
        <f t="shared" si="10"/>
        <v>1.5984200618461312E-3</v>
      </c>
      <c r="I48">
        <f t="shared" si="11"/>
        <v>6.0183429615035769E-4</v>
      </c>
      <c r="Q48" s="9"/>
      <c r="R48">
        <v>-2.5508184319308985E-2</v>
      </c>
    </row>
    <row r="49" spans="1:18" ht="16" thickBot="1" x14ac:dyDescent="0.25">
      <c r="A49" s="5">
        <v>42004</v>
      </c>
      <c r="B49" s="4">
        <v>-4.1883462182201736E-3</v>
      </c>
      <c r="C49" s="4">
        <v>1.3157599802747999E-2</v>
      </c>
      <c r="D49" s="3">
        <f t="shared" si="6"/>
        <v>-4.8345698275832454E-4</v>
      </c>
      <c r="E49" s="2">
        <f t="shared" si="7"/>
        <v>-1.4514527445938747E-2</v>
      </c>
      <c r="F49">
        <f t="shared" si="8"/>
        <v>2.1067150697890916E-4</v>
      </c>
      <c r="G49" s="2">
        <f t="shared" si="9"/>
        <v>1.3641056785506324E-2</v>
      </c>
      <c r="H49">
        <f t="shared" si="10"/>
        <v>1.8607843022540812E-4</v>
      </c>
      <c r="I49">
        <f t="shared" si="11"/>
        <v>1.7542244043679229E-5</v>
      </c>
      <c r="Q49" s="9"/>
      <c r="R49">
        <v>2.6565976368282909E-2</v>
      </c>
    </row>
    <row r="50" spans="1:18" ht="16" thickBot="1" x14ac:dyDescent="0.25">
      <c r="A50" s="5">
        <v>42035</v>
      </c>
      <c r="B50" s="4">
        <v>-3.1041766456985753E-2</v>
      </c>
      <c r="C50" s="4">
        <v>-4.4845132743362881E-2</v>
      </c>
      <c r="D50" s="3">
        <f t="shared" si="6"/>
        <v>-2.172400444179361E-2</v>
      </c>
      <c r="E50" s="2">
        <f t="shared" si="7"/>
        <v>-4.1367947684704323E-2</v>
      </c>
      <c r="F50">
        <f t="shared" si="8"/>
        <v>1.7113070956444338E-3</v>
      </c>
      <c r="G50" s="2">
        <f t="shared" si="9"/>
        <v>-2.3121128301569271E-2</v>
      </c>
      <c r="H50">
        <f t="shared" si="10"/>
        <v>5.3458657393762755E-4</v>
      </c>
      <c r="I50">
        <f t="shared" si="11"/>
        <v>9.6359126477004581E-4</v>
      </c>
      <c r="Q50" s="9"/>
      <c r="R50">
        <v>2.6887188966123132E-2</v>
      </c>
    </row>
    <row r="51" spans="1:18" ht="16" thickBot="1" x14ac:dyDescent="0.25">
      <c r="A51" s="5">
        <v>42063</v>
      </c>
      <c r="B51" s="4">
        <v>5.4893916586232772E-2</v>
      </c>
      <c r="C51" s="4">
        <v>2.4621870150325353E-2</v>
      </c>
      <c r="D51" s="3">
        <f t="shared" si="6"/>
        <v>4.6249495316314101E-2</v>
      </c>
      <c r="E51" s="2">
        <f t="shared" si="7"/>
        <v>4.4567735358514202E-2</v>
      </c>
      <c r="F51">
        <f t="shared" si="8"/>
        <v>1.9862830349865572E-3</v>
      </c>
      <c r="G51" s="2">
        <f t="shared" si="9"/>
        <v>-2.1627625165988748E-2</v>
      </c>
      <c r="H51">
        <f t="shared" si="10"/>
        <v>4.6775417032050983E-4</v>
      </c>
      <c r="I51">
        <f t="shared" si="11"/>
        <v>3.0133420781762814E-3</v>
      </c>
      <c r="Q51" s="9"/>
      <c r="R51">
        <v>7.0040122723211556E-3</v>
      </c>
    </row>
    <row r="52" spans="1:18" ht="16" thickBot="1" x14ac:dyDescent="0.25">
      <c r="A52" s="5">
        <v>42094</v>
      </c>
      <c r="B52" s="4">
        <v>-1.7398884310388607E-2</v>
      </c>
      <c r="C52" s="4">
        <v>-1.6638032371823819E-2</v>
      </c>
      <c r="D52" s="3">
        <f t="shared" si="6"/>
        <v>-1.0932742727783253E-2</v>
      </c>
      <c r="E52" s="2">
        <f t="shared" si="7"/>
        <v>-2.772506553810718E-2</v>
      </c>
      <c r="F52">
        <f t="shared" si="8"/>
        <v>7.6867925909233838E-4</v>
      </c>
      <c r="G52" s="2">
        <f t="shared" si="9"/>
        <v>-5.7052896440405662E-3</v>
      </c>
      <c r="H52">
        <f t="shared" si="10"/>
        <v>3.255032992239653E-5</v>
      </c>
      <c r="I52">
        <f t="shared" si="11"/>
        <v>3.0272117524628682E-4</v>
      </c>
      <c r="Q52" s="9"/>
      <c r="R52">
        <v>1.4422986161475207E-2</v>
      </c>
    </row>
    <row r="53" spans="1:18" ht="16" thickBot="1" x14ac:dyDescent="0.25">
      <c r="A53" s="5">
        <v>42124</v>
      </c>
      <c r="B53" s="4">
        <v>8.52387508934771E-3</v>
      </c>
      <c r="C53" s="4">
        <v>-1.8850574712643731E-2</v>
      </c>
      <c r="D53" s="3">
        <f t="shared" si="6"/>
        <v>9.5716696116321508E-3</v>
      </c>
      <c r="E53" s="2">
        <f t="shared" si="7"/>
        <v>-1.8023061383708634E-3</v>
      </c>
      <c r="F53">
        <f t="shared" si="8"/>
        <v>3.248307416409294E-6</v>
      </c>
      <c r="G53" s="2">
        <f t="shared" si="9"/>
        <v>-2.8422244324275883E-2</v>
      </c>
      <c r="H53">
        <f t="shared" si="10"/>
        <v>8.0782397242883271E-4</v>
      </c>
      <c r="I53">
        <f t="shared" si="11"/>
        <v>7.2656446538802425E-5</v>
      </c>
      <c r="Q53" s="9"/>
      <c r="R53">
        <v>-4.1185071070582627E-2</v>
      </c>
    </row>
    <row r="54" spans="1:18" ht="16" thickBot="1" x14ac:dyDescent="0.25">
      <c r="A54" s="5">
        <v>42155</v>
      </c>
      <c r="B54" s="4">
        <v>1.0489466239135492E-2</v>
      </c>
      <c r="C54" s="4">
        <v>6.5604498594189486E-3</v>
      </c>
      <c r="D54" s="3">
        <f t="shared" si="6"/>
        <v>1.1126415030685196E-2</v>
      </c>
      <c r="E54" s="2">
        <f t="shared" si="7"/>
        <v>1.6328501141691862E-4</v>
      </c>
      <c r="F54">
        <f t="shared" si="8"/>
        <v>2.6661994953423242E-8</v>
      </c>
      <c r="G54" s="2">
        <f t="shared" si="9"/>
        <v>-4.5659651712662477E-3</v>
      </c>
      <c r="H54">
        <f t="shared" si="10"/>
        <v>2.0848037945216414E-5</v>
      </c>
      <c r="I54">
        <f t="shared" si="11"/>
        <v>1.1002890198196328E-4</v>
      </c>
      <c r="Q54" s="9"/>
      <c r="R54">
        <v>-9.6753109060098083E-3</v>
      </c>
    </row>
    <row r="55" spans="1:18" ht="16" thickBot="1" x14ac:dyDescent="0.25">
      <c r="A55" s="5">
        <v>42185</v>
      </c>
      <c r="B55" s="4">
        <v>-2.101070755318124E-2</v>
      </c>
      <c r="C55" s="4">
        <v>-4.6322160148975833E-2</v>
      </c>
      <c r="D55" s="3">
        <f t="shared" si="6"/>
        <v>-1.3789626592857349E-2</v>
      </c>
      <c r="E55" s="2">
        <f t="shared" si="7"/>
        <v>-3.133688878089981E-2</v>
      </c>
      <c r="F55">
        <f t="shared" si="8"/>
        <v>9.820005984664845E-4</v>
      </c>
      <c r="G55" s="2">
        <f t="shared" si="9"/>
        <v>-3.2532533556118487E-2</v>
      </c>
      <c r="H55">
        <f t="shared" si="10"/>
        <v>1.0583657395799753E-3</v>
      </c>
      <c r="I55">
        <f t="shared" si="11"/>
        <v>4.4144983188530723E-4</v>
      </c>
      <c r="Q55" s="9"/>
      <c r="R55">
        <v>-3.4860502209795433E-2</v>
      </c>
    </row>
    <row r="56" spans="1:18" ht="16" thickBot="1" x14ac:dyDescent="0.25">
      <c r="A56" s="5">
        <v>42216</v>
      </c>
      <c r="B56" s="4">
        <v>1.9738887770079039E-2</v>
      </c>
      <c r="C56" s="4">
        <v>4.4666829387356666E-2</v>
      </c>
      <c r="D56" s="3">
        <f t="shared" si="6"/>
        <v>1.8442532502865358E-2</v>
      </c>
      <c r="E56" s="2">
        <f t="shared" si="7"/>
        <v>9.4127065423604654E-3</v>
      </c>
      <c r="F56">
        <f t="shared" si="8"/>
        <v>8.8599044452595505E-5</v>
      </c>
      <c r="G56" s="2">
        <f t="shared" si="9"/>
        <v>2.6224296884491308E-2</v>
      </c>
      <c r="H56">
        <f t="shared" si="10"/>
        <v>6.8771374708594048E-4</v>
      </c>
      <c r="I56">
        <f t="shared" si="11"/>
        <v>3.8962369039977583E-4</v>
      </c>
      <c r="Q56" s="9"/>
      <c r="R56">
        <v>6.0190773931369582E-3</v>
      </c>
    </row>
    <row r="57" spans="1:18" ht="16" thickBot="1" x14ac:dyDescent="0.25">
      <c r="A57" s="5">
        <v>42247</v>
      </c>
      <c r="B57" s="4">
        <v>-6.2576510789646766E-2</v>
      </c>
      <c r="C57" s="4">
        <v>-5.3593457943925227E-2</v>
      </c>
      <c r="D57" s="3">
        <f t="shared" si="6"/>
        <v>-4.6667390708824336E-2</v>
      </c>
      <c r="E57" s="2">
        <f t="shared" si="7"/>
        <v>-7.2902692017365336E-2</v>
      </c>
      <c r="F57">
        <f t="shared" si="8"/>
        <v>5.3148025033788234E-3</v>
      </c>
      <c r="G57" s="2">
        <f t="shared" si="9"/>
        <v>-6.9260672351008912E-3</v>
      </c>
      <c r="H57">
        <f t="shared" si="10"/>
        <v>4.7970407345138106E-5</v>
      </c>
      <c r="I57">
        <f t="shared" si="11"/>
        <v>3.9158197026067784E-3</v>
      </c>
      <c r="Q57" s="9"/>
      <c r="R57">
        <v>-5.925170521412098E-3</v>
      </c>
    </row>
    <row r="58" spans="1:18" ht="16" thickBot="1" x14ac:dyDescent="0.25">
      <c r="A58" s="5">
        <v>42277</v>
      </c>
      <c r="B58" s="4">
        <v>-2.6446882672691241E-2</v>
      </c>
      <c r="C58" s="4">
        <v>-3.5999427248174398E-2</v>
      </c>
      <c r="D58" s="3">
        <f t="shared" si="6"/>
        <v>-1.8089538283618083E-2</v>
      </c>
      <c r="E58" s="2">
        <f t="shared" si="7"/>
        <v>-3.6773063900409811E-2</v>
      </c>
      <c r="F58">
        <f t="shared" si="8"/>
        <v>1.3522582286236231E-3</v>
      </c>
      <c r="G58" s="2">
        <f t="shared" si="9"/>
        <v>-1.7909888964556316E-2</v>
      </c>
      <c r="H58">
        <f t="shared" si="10"/>
        <v>3.2076412272273607E-4</v>
      </c>
      <c r="I58">
        <f t="shared" si="11"/>
        <v>6.9943760310309624E-4</v>
      </c>
      <c r="Q58" s="9"/>
      <c r="R58">
        <v>3.0585286516832497E-2</v>
      </c>
    </row>
    <row r="59" spans="1:18" ht="16" thickBot="1" x14ac:dyDescent="0.25">
      <c r="A59" s="5">
        <v>42308</v>
      </c>
      <c r="B59" s="4">
        <v>8.2984938771496264E-2</v>
      </c>
      <c r="C59" s="4">
        <v>4.7920508092603953E-2</v>
      </c>
      <c r="D59" s="3">
        <f t="shared" si="6"/>
        <v>6.8468962504987213E-2</v>
      </c>
      <c r="E59" s="2">
        <f t="shared" si="7"/>
        <v>7.2658757543777694E-2</v>
      </c>
      <c r="F59">
        <f t="shared" si="8"/>
        <v>5.2792950478054721E-3</v>
      </c>
      <c r="G59" s="2">
        <f t="shared" si="9"/>
        <v>-2.054845441238326E-2</v>
      </c>
      <c r="H59">
        <f t="shared" si="10"/>
        <v>4.2223897873779309E-4</v>
      </c>
      <c r="I59">
        <f t="shared" si="11"/>
        <v>6.8865000629089838E-3</v>
      </c>
      <c r="Q59" s="9"/>
      <c r="R59">
        <v>1.7166624142318107E-2</v>
      </c>
    </row>
    <row r="60" spans="1:18" ht="16" thickBot="1" x14ac:dyDescent="0.25">
      <c r="A60" s="5">
        <v>42338</v>
      </c>
      <c r="B60" s="4">
        <v>5.0351609765897365E-4</v>
      </c>
      <c r="C60" s="4">
        <v>-1.5816536002658865E-2</v>
      </c>
      <c r="D60" s="3">
        <f t="shared" si="6"/>
        <v>3.2277173594889397E-3</v>
      </c>
      <c r="E60" s="2">
        <f t="shared" si="7"/>
        <v>-9.8226651300595998E-3</v>
      </c>
      <c r="F60">
        <f t="shared" si="8"/>
        <v>9.648475025728877E-5</v>
      </c>
      <c r="G60" s="2">
        <f t="shared" si="9"/>
        <v>-1.9044253362147805E-2</v>
      </c>
      <c r="H60">
        <f t="shared" si="10"/>
        <v>3.6268358612167798E-4</v>
      </c>
      <c r="I60">
        <f t="shared" si="11"/>
        <v>2.5352846060172108E-7</v>
      </c>
      <c r="Q60" s="9"/>
      <c r="R60">
        <v>7.2118519515556919E-3</v>
      </c>
    </row>
    <row r="61" spans="1:18" ht="16" thickBot="1" x14ac:dyDescent="0.25">
      <c r="A61" s="5">
        <v>42369</v>
      </c>
      <c r="B61" s="4">
        <v>-1.7530208734062636E-2</v>
      </c>
      <c r="C61" s="4">
        <v>-1.7679777512912165E-2</v>
      </c>
      <c r="D61" s="3">
        <f t="shared" si="6"/>
        <v>-1.1036617862822918E-2</v>
      </c>
      <c r="E61" s="2">
        <f t="shared" si="7"/>
        <v>-2.7856389961781209E-2</v>
      </c>
      <c r="F61">
        <f t="shared" si="8"/>
        <v>7.7597846170282493E-4</v>
      </c>
      <c r="G61" s="2">
        <f t="shared" si="9"/>
        <v>-6.6431596500892472E-3</v>
      </c>
      <c r="H61">
        <f t="shared" si="10"/>
        <v>4.4131570136573892E-5</v>
      </c>
      <c r="I61">
        <f t="shared" si="11"/>
        <v>3.0730821825980591E-4</v>
      </c>
      <c r="Q61" s="9"/>
      <c r="R61">
        <v>-2.5402073292444427E-2</v>
      </c>
    </row>
    <row r="62" spans="1:18" ht="16" thickBot="1" x14ac:dyDescent="0.25">
      <c r="A62" s="5">
        <v>42400</v>
      </c>
      <c r="B62" s="4">
        <v>-5.0734045036633701E-2</v>
      </c>
      <c r="C62" s="4">
        <v>-1.7391051567239746E-2</v>
      </c>
      <c r="D62" s="3">
        <f t="shared" si="6"/>
        <v>-3.7300224306097335E-2</v>
      </c>
      <c r="E62" s="2">
        <f t="shared" si="7"/>
        <v>-6.1060226264352271E-2</v>
      </c>
      <c r="F62">
        <f t="shared" si="8"/>
        <v>3.7283512314538951E-3</v>
      </c>
      <c r="G62" s="2">
        <f t="shared" si="9"/>
        <v>1.9909172738857589E-2</v>
      </c>
      <c r="H62">
        <f t="shared" si="10"/>
        <v>3.9637515914567019E-4</v>
      </c>
      <c r="I62">
        <f t="shared" si="11"/>
        <v>2.5739433257791766E-3</v>
      </c>
      <c r="Q62" s="9"/>
      <c r="R62">
        <v>2.6510605640974128E-2</v>
      </c>
    </row>
    <row r="63" spans="1:18" ht="16" thickBot="1" x14ac:dyDescent="0.25">
      <c r="A63" s="5">
        <v>42429</v>
      </c>
      <c r="B63" s="4">
        <v>-4.1300480105391779E-3</v>
      </c>
      <c r="C63" s="4">
        <v>4.2163757418255621E-2</v>
      </c>
      <c r="D63" s="3">
        <f t="shared" si="6"/>
        <v>-4.373442032309968E-4</v>
      </c>
      <c r="E63" s="2">
        <f t="shared" si="7"/>
        <v>-1.4456229238257751E-2</v>
      </c>
      <c r="F63">
        <f t="shared" si="8"/>
        <v>2.089825637890583E-4</v>
      </c>
      <c r="G63" s="2">
        <f t="shared" si="9"/>
        <v>4.2601101621486615E-2</v>
      </c>
      <c r="H63">
        <f t="shared" si="10"/>
        <v>1.8148538593642295E-3</v>
      </c>
      <c r="I63">
        <f t="shared" si="11"/>
        <v>1.7057296569358623E-5</v>
      </c>
      <c r="Q63" s="9"/>
      <c r="R63">
        <v>-1.1249730672058126E-2</v>
      </c>
    </row>
    <row r="64" spans="1:18" ht="16" thickBot="1" x14ac:dyDescent="0.25">
      <c r="A64" s="5">
        <v>42460</v>
      </c>
      <c r="B64" s="4">
        <v>6.599370661088555E-2</v>
      </c>
      <c r="C64" s="4">
        <v>5.3787860087383565E-2</v>
      </c>
      <c r="D64" s="3">
        <f t="shared" si="6"/>
        <v>5.5029219266100299E-2</v>
      </c>
      <c r="E64" s="2">
        <f t="shared" si="7"/>
        <v>5.566752538316698E-2</v>
      </c>
      <c r="F64">
        <f t="shared" si="8"/>
        <v>3.0988733822855398E-3</v>
      </c>
      <c r="G64" s="2">
        <f t="shared" si="9"/>
        <v>-1.2413591787167333E-3</v>
      </c>
      <c r="H64">
        <f t="shared" si="10"/>
        <v>1.5409726105842826E-6</v>
      </c>
      <c r="I64">
        <f t="shared" si="11"/>
        <v>4.3551693122436388E-3</v>
      </c>
      <c r="Q64" s="9"/>
      <c r="R64">
        <v>1.3533889911693249E-2</v>
      </c>
    </row>
    <row r="65" spans="1:18" ht="16" thickBot="1" x14ac:dyDescent="0.25">
      <c r="A65" s="5">
        <v>42490</v>
      </c>
      <c r="B65" s="4">
        <v>2.69700118981131E-3</v>
      </c>
      <c r="C65" s="4">
        <v>2.6001405481377304E-2</v>
      </c>
      <c r="D65" s="3">
        <f t="shared" si="6"/>
        <v>4.9627225761908929E-3</v>
      </c>
      <c r="E65" s="2">
        <f t="shared" si="7"/>
        <v>-7.6291800379072634E-3</v>
      </c>
      <c r="F65">
        <f t="shared" si="8"/>
        <v>5.8204388050802673E-5</v>
      </c>
      <c r="G65" s="2">
        <f t="shared" si="9"/>
        <v>2.1038682905186411E-2</v>
      </c>
      <c r="H65">
        <f t="shared" si="10"/>
        <v>4.4262617838498295E-4</v>
      </c>
      <c r="I65">
        <f t="shared" si="11"/>
        <v>7.273815417843622E-6</v>
      </c>
      <c r="Q65" s="9"/>
      <c r="R65">
        <v>7.8344336873140789E-3</v>
      </c>
    </row>
    <row r="66" spans="1:18" ht="16" thickBot="1" x14ac:dyDescent="0.25">
      <c r="A66" s="5">
        <v>42521</v>
      </c>
      <c r="B66" s="4">
        <v>1.5333341782454379E-2</v>
      </c>
      <c r="C66" s="4">
        <v>-3.3356164383561593E-2</v>
      </c>
      <c r="D66" s="3">
        <f t="shared" ref="D66:D97" si="12">B66*$L$8+$L$9</f>
        <v>1.4957828960408686E-2</v>
      </c>
      <c r="E66" s="2">
        <f t="shared" ref="E66:E97" si="13">B66-$L$2</f>
        <v>5.007160554735806E-3</v>
      </c>
      <c r="F66">
        <f t="shared" ref="F66:F97" si="14">E66^2</f>
        <v>2.5071656820902183E-5</v>
      </c>
      <c r="G66" s="2">
        <f t="shared" ref="G66:G97" si="15">C66-D66</f>
        <v>-4.8313993343970282E-2</v>
      </c>
      <c r="H66">
        <f t="shared" ref="H66:H97" si="16">G66^2</f>
        <v>2.3342419528412047E-3</v>
      </c>
      <c r="I66">
        <f t="shared" ref="I66:I97" si="17">B66^2</f>
        <v>2.3511137021756126E-4</v>
      </c>
      <c r="Q66" s="9"/>
      <c r="R66">
        <v>4.5413398321582636E-2</v>
      </c>
    </row>
    <row r="67" spans="1:18" ht="16" thickBot="1" x14ac:dyDescent="0.25">
      <c r="A67" s="5">
        <v>42551</v>
      </c>
      <c r="B67" s="4">
        <v>9.0179481344954127E-4</v>
      </c>
      <c r="C67" s="4">
        <v>2.4941543257989141E-2</v>
      </c>
      <c r="D67" s="3">
        <f t="shared" si="12"/>
        <v>3.54274828997953E-3</v>
      </c>
      <c r="E67" s="2">
        <f t="shared" si="13"/>
        <v>-9.4243864142690321E-3</v>
      </c>
      <c r="F67">
        <f t="shared" si="14"/>
        <v>8.8819059285458708E-5</v>
      </c>
      <c r="G67" s="2">
        <f t="shared" si="15"/>
        <v>2.1398794968009609E-2</v>
      </c>
      <c r="H67">
        <f t="shared" si="16"/>
        <v>4.5790842608291334E-4</v>
      </c>
      <c r="I67">
        <f t="shared" si="17"/>
        <v>8.1323388556449293E-7</v>
      </c>
      <c r="Q67" s="9"/>
      <c r="R67">
        <v>3.4524349323145E-2</v>
      </c>
    </row>
    <row r="68" spans="1:18" ht="16" thickBot="1" x14ac:dyDescent="0.25">
      <c r="A68" s="5">
        <v>42582</v>
      </c>
      <c r="B68" s="4">
        <v>3.5614001594188816E-2</v>
      </c>
      <c r="C68" s="4">
        <v>-4.4936052540615057E-3</v>
      </c>
      <c r="D68" s="3">
        <f t="shared" si="12"/>
        <v>3.0999447249680914E-2</v>
      </c>
      <c r="E68" s="2">
        <f t="shared" si="13"/>
        <v>2.5287820366470242E-2</v>
      </c>
      <c r="F68">
        <f t="shared" si="14"/>
        <v>6.3947385888686722E-4</v>
      </c>
      <c r="G68" s="2">
        <f t="shared" si="15"/>
        <v>-3.549305250374242E-2</v>
      </c>
      <c r="H68">
        <f t="shared" si="16"/>
        <v>1.259756776033416E-3</v>
      </c>
      <c r="I68">
        <f t="shared" si="17"/>
        <v>1.2683571095508835E-3</v>
      </c>
      <c r="Q68" s="9"/>
      <c r="R68">
        <v>-7.178561866726621E-3</v>
      </c>
    </row>
    <row r="69" spans="1:18" ht="16" thickBot="1" x14ac:dyDescent="0.25">
      <c r="A69" s="5">
        <v>42613</v>
      </c>
      <c r="B69" s="4">
        <v>-1.2223488580096475E-3</v>
      </c>
      <c r="C69" s="4">
        <v>4.5185185185185217E-2</v>
      </c>
      <c r="D69" s="3">
        <f t="shared" si="12"/>
        <v>1.862590825407994E-3</v>
      </c>
      <c r="E69" s="2">
        <f t="shared" si="13"/>
        <v>-1.1548530085728221E-2</v>
      </c>
      <c r="F69">
        <f t="shared" si="14"/>
        <v>1.3336854714096987E-4</v>
      </c>
      <c r="G69" s="2">
        <f t="shared" si="15"/>
        <v>4.3322594359777221E-2</v>
      </c>
      <c r="H69">
        <f t="shared" si="16"/>
        <v>1.876847182061801E-3</v>
      </c>
      <c r="I69">
        <f t="shared" si="17"/>
        <v>1.4941367306774894E-6</v>
      </c>
      <c r="Q69" s="9"/>
      <c r="R69">
        <v>2.6977985789364625E-4</v>
      </c>
    </row>
    <row r="70" spans="1:18" ht="16" thickBot="1" x14ac:dyDescent="0.25">
      <c r="A70" s="5">
        <v>42643</v>
      </c>
      <c r="B70" s="4">
        <v>-1.2321204097999194E-3</v>
      </c>
      <c r="C70" s="4">
        <v>-4.2257264351523771E-2</v>
      </c>
      <c r="D70" s="3">
        <f t="shared" si="12"/>
        <v>1.854861712777117E-3</v>
      </c>
      <c r="E70" s="2">
        <f t="shared" si="13"/>
        <v>-1.1558301637518493E-2</v>
      </c>
      <c r="F70">
        <f t="shared" si="14"/>
        <v>1.3359433674386268E-4</v>
      </c>
      <c r="G70" s="2">
        <f t="shared" si="15"/>
        <v>-4.4112126064300886E-2</v>
      </c>
      <c r="H70">
        <f t="shared" si="16"/>
        <v>1.9458796659127735E-3</v>
      </c>
      <c r="I70">
        <f t="shared" si="17"/>
        <v>1.5181207042455215E-6</v>
      </c>
      <c r="Q70" s="9"/>
      <c r="R70">
        <v>5.8102952388298497E-2</v>
      </c>
    </row>
    <row r="71" spans="1:18" ht="16" thickBot="1" x14ac:dyDescent="0.25">
      <c r="A71" s="5">
        <v>42674</v>
      </c>
      <c r="B71" s="4">
        <v>-1.9425049470841449E-2</v>
      </c>
      <c r="C71" s="4">
        <v>-2.4049579132364718E-3</v>
      </c>
      <c r="D71" s="3">
        <f t="shared" si="12"/>
        <v>-1.2535401043475733E-2</v>
      </c>
      <c r="E71" s="2">
        <f t="shared" si="13"/>
        <v>-2.9751230698560022E-2</v>
      </c>
      <c r="F71">
        <f t="shared" si="14"/>
        <v>8.8513572807894024E-4</v>
      </c>
      <c r="G71" s="2">
        <f t="shared" si="15"/>
        <v>1.0130443130239261E-2</v>
      </c>
      <c r="H71">
        <f t="shared" si="16"/>
        <v>1.0262587801501185E-4</v>
      </c>
      <c r="I71">
        <f t="shared" si="17"/>
        <v>3.7733254694463766E-4</v>
      </c>
      <c r="Q71" s="9"/>
      <c r="R71">
        <v>-6.7250215315621704E-3</v>
      </c>
    </row>
    <row r="72" spans="1:18" ht="16" thickBot="1" x14ac:dyDescent="0.25">
      <c r="A72" s="5">
        <v>42704</v>
      </c>
      <c r="B72" s="4">
        <v>3.4173054294655225E-2</v>
      </c>
      <c r="C72" s="4">
        <v>9.8748261474269849E-2</v>
      </c>
      <c r="D72" s="3">
        <f t="shared" si="12"/>
        <v>2.985968519220086E-2</v>
      </c>
      <c r="E72" s="2">
        <f t="shared" si="13"/>
        <v>2.3846873066936652E-2</v>
      </c>
      <c r="F72">
        <f t="shared" si="14"/>
        <v>5.6867335507058872E-4</v>
      </c>
      <c r="G72" s="2">
        <f t="shared" si="15"/>
        <v>6.8888576282068986E-2</v>
      </c>
      <c r="H72">
        <f t="shared" si="16"/>
        <v>4.7456359421704378E-3</v>
      </c>
      <c r="I72">
        <f t="shared" si="17"/>
        <v>1.1677976398254538E-3</v>
      </c>
      <c r="Q72" s="9"/>
      <c r="R72">
        <v>-1.0516472013366737E-2</v>
      </c>
    </row>
    <row r="73" spans="1:18" ht="16" thickBot="1" x14ac:dyDescent="0.25">
      <c r="A73" s="5">
        <v>42735</v>
      </c>
      <c r="B73" s="4">
        <v>1.8199036954797077E-2</v>
      </c>
      <c r="C73" s="4">
        <v>3.0046413502109681E-2</v>
      </c>
      <c r="D73" s="3">
        <f t="shared" si="12"/>
        <v>1.7224539635252369E-2</v>
      </c>
      <c r="E73" s="2">
        <f t="shared" si="13"/>
        <v>7.8728557270785031E-3</v>
      </c>
      <c r="F73">
        <f t="shared" si="14"/>
        <v>6.1981857299392787E-5</v>
      </c>
      <c r="G73" s="2">
        <f t="shared" si="15"/>
        <v>1.2821873866857313E-2</v>
      </c>
      <c r="H73">
        <f t="shared" si="16"/>
        <v>1.6440044945759848E-4</v>
      </c>
      <c r="I73">
        <f t="shared" si="17"/>
        <v>3.3120494608206966E-4</v>
      </c>
      <c r="Q73" s="9"/>
      <c r="R73">
        <v>-1.7466569649388974E-2</v>
      </c>
    </row>
    <row r="74" spans="1:18" ht="16" thickBot="1" x14ac:dyDescent="0.25">
      <c r="A74" s="5">
        <v>42766</v>
      </c>
      <c r="B74" s="4">
        <v>1.7884461192794632E-2</v>
      </c>
      <c r="C74" s="4">
        <v>7.6165098455274194E-3</v>
      </c>
      <c r="D74" s="3">
        <f t="shared" si="12"/>
        <v>1.6975716157912626E-2</v>
      </c>
      <c r="E74" s="2">
        <f t="shared" si="13"/>
        <v>7.5582799650760583E-3</v>
      </c>
      <c r="F74">
        <f t="shared" si="14"/>
        <v>5.7127596030470141E-5</v>
      </c>
      <c r="G74" s="2">
        <f t="shared" si="15"/>
        <v>-9.3592063123852064E-3</v>
      </c>
      <c r="H74">
        <f t="shared" si="16"/>
        <v>8.7594742797791092E-5</v>
      </c>
      <c r="I74">
        <f t="shared" si="17"/>
        <v>3.198539521565772E-4</v>
      </c>
      <c r="Q74" s="9"/>
      <c r="R74">
        <v>-6.2447875146691562E-3</v>
      </c>
    </row>
    <row r="75" spans="1:18" ht="16" thickBot="1" x14ac:dyDescent="0.25">
      <c r="A75" s="5">
        <v>42794</v>
      </c>
      <c r="B75" s="4">
        <v>3.7198884614172645E-2</v>
      </c>
      <c r="C75" s="4">
        <v>4.5205440190649426E-2</v>
      </c>
      <c r="D75" s="3">
        <f t="shared" si="12"/>
        <v>3.2253059739399771E-2</v>
      </c>
      <c r="E75" s="2">
        <f t="shared" si="13"/>
        <v>2.6872703386454071E-2</v>
      </c>
      <c r="F75">
        <f t="shared" si="14"/>
        <v>7.2214218729634017E-4</v>
      </c>
      <c r="G75" s="2">
        <f t="shared" si="15"/>
        <v>1.2952380451249655E-2</v>
      </c>
      <c r="H75">
        <f t="shared" si="16"/>
        <v>1.6776415935391422E-4</v>
      </c>
      <c r="I75">
        <f t="shared" si="17"/>
        <v>1.3837570165385303E-3</v>
      </c>
      <c r="Q75" s="9"/>
      <c r="R75">
        <v>-2.2939543933197616E-2</v>
      </c>
    </row>
    <row r="76" spans="1:18" ht="16" thickBot="1" x14ac:dyDescent="0.25">
      <c r="A76" s="5">
        <v>42825</v>
      </c>
      <c r="B76" s="4">
        <v>-3.89220623005615E-4</v>
      </c>
      <c r="C76" s="4">
        <v>-2.8199144301828127E-2</v>
      </c>
      <c r="D76" s="3">
        <f t="shared" si="12"/>
        <v>2.5215795001362648E-3</v>
      </c>
      <c r="E76" s="2">
        <f t="shared" si="13"/>
        <v>-1.0715401850724188E-2</v>
      </c>
      <c r="F76">
        <f t="shared" si="14"/>
        <v>1.1481983682250337E-4</v>
      </c>
      <c r="G76" s="2">
        <f t="shared" si="15"/>
        <v>-3.0720723801964393E-2</v>
      </c>
      <c r="H76">
        <f t="shared" si="16"/>
        <v>9.4376287091658159E-4</v>
      </c>
      <c r="I76">
        <f t="shared" si="17"/>
        <v>1.5149269337287906E-7</v>
      </c>
      <c r="Q76" s="9"/>
      <c r="R76">
        <v>-1.4869134548420988E-2</v>
      </c>
    </row>
    <row r="77" spans="1:18" ht="16" thickBot="1" x14ac:dyDescent="0.25">
      <c r="A77" s="5">
        <v>42855</v>
      </c>
      <c r="B77" s="4">
        <v>9.090079905042403E-3</v>
      </c>
      <c r="C77" s="4">
        <v>-8.2849709825895124E-3</v>
      </c>
      <c r="D77" s="3">
        <f t="shared" si="12"/>
        <v>1.0019526910716012E-2</v>
      </c>
      <c r="E77" s="2">
        <f t="shared" si="13"/>
        <v>-1.2361013226761704E-3</v>
      </c>
      <c r="F77">
        <f t="shared" si="14"/>
        <v>1.5279464799217778E-6</v>
      </c>
      <c r="G77" s="2">
        <f t="shared" si="15"/>
        <v>-1.8304497893305523E-2</v>
      </c>
      <c r="H77">
        <f t="shared" si="16"/>
        <v>3.3505464312602633E-4</v>
      </c>
      <c r="I77">
        <f t="shared" si="17"/>
        <v>8.2629552680055704E-5</v>
      </c>
      <c r="Q77" s="9"/>
      <c r="R77">
        <v>-3.4387207074070419E-3</v>
      </c>
    </row>
    <row r="78" spans="1:18" ht="16" thickBot="1" x14ac:dyDescent="0.25">
      <c r="A78" s="5">
        <v>42886</v>
      </c>
      <c r="B78" s="4">
        <v>1.1576989486522526E-2</v>
      </c>
      <c r="C78" s="4">
        <v>2.6636532407782187E-3</v>
      </c>
      <c r="D78" s="3">
        <f t="shared" si="12"/>
        <v>1.1986625348162071E-2</v>
      </c>
      <c r="E78" s="2">
        <f t="shared" si="13"/>
        <v>1.250808258803953E-3</v>
      </c>
      <c r="F78">
        <f t="shared" si="14"/>
        <v>1.5645213002921768E-6</v>
      </c>
      <c r="G78" s="2">
        <f t="shared" si="15"/>
        <v>-9.3229721073838524E-3</v>
      </c>
      <c r="H78">
        <f t="shared" si="16"/>
        <v>8.6917808915057315E-5</v>
      </c>
      <c r="I78">
        <f t="shared" si="17"/>
        <v>1.3402668557105311E-4</v>
      </c>
      <c r="Q78" s="9"/>
      <c r="R78">
        <v>-2.1834832934780821E-2</v>
      </c>
    </row>
    <row r="79" spans="1:18" ht="16" thickBot="1" x14ac:dyDescent="0.25">
      <c r="A79" s="5">
        <v>42916</v>
      </c>
      <c r="B79" s="4">
        <v>4.8144869756812092E-3</v>
      </c>
      <c r="C79" s="4">
        <v>2.5197230719690822E-2</v>
      </c>
      <c r="D79" s="3">
        <f t="shared" si="12"/>
        <v>6.6376137791995162E-3</v>
      </c>
      <c r="E79" s="2">
        <f t="shared" si="13"/>
        <v>-5.5116942520373642E-3</v>
      </c>
      <c r="F79">
        <f t="shared" si="14"/>
        <v>3.0378773527941718E-5</v>
      </c>
      <c r="G79" s="2">
        <f t="shared" si="15"/>
        <v>1.8559616940491304E-2</v>
      </c>
      <c r="H79">
        <f t="shared" si="16"/>
        <v>3.4445938097777177E-4</v>
      </c>
      <c r="I79">
        <f t="shared" si="17"/>
        <v>2.3179284839003996E-5</v>
      </c>
      <c r="Q79" s="9"/>
      <c r="R79">
        <v>-1.2181317753951731E-2</v>
      </c>
    </row>
    <row r="80" spans="1:18" ht="16" thickBot="1" x14ac:dyDescent="0.25">
      <c r="A80" s="5">
        <v>42947</v>
      </c>
      <c r="B80" s="4">
        <v>1.9349245754665123E-2</v>
      </c>
      <c r="C80" s="4">
        <v>3.1747153513937976E-2</v>
      </c>
      <c r="D80" s="3">
        <f t="shared" si="12"/>
        <v>1.8134333039003921E-2</v>
      </c>
      <c r="E80" s="2">
        <f t="shared" si="13"/>
        <v>9.0230645269465497E-3</v>
      </c>
      <c r="F80">
        <f t="shared" si="14"/>
        <v>8.1415693457441161E-5</v>
      </c>
      <c r="G80" s="2">
        <f t="shared" si="15"/>
        <v>1.3612820474934055E-2</v>
      </c>
      <c r="H80">
        <f t="shared" si="16"/>
        <v>1.8530888128278383E-4</v>
      </c>
      <c r="I80">
        <f t="shared" si="17"/>
        <v>3.7439331127442631E-4</v>
      </c>
      <c r="Q80" s="9"/>
      <c r="R80">
        <v>7.0223510228150682E-2</v>
      </c>
    </row>
    <row r="81" spans="1:18" ht="16" thickBot="1" x14ac:dyDescent="0.25">
      <c r="A81" s="5">
        <v>42978</v>
      </c>
      <c r="B81" s="4">
        <v>5.4656627454563456E-4</v>
      </c>
      <c r="C81" s="4">
        <v>3.2969792911342388E-2</v>
      </c>
      <c r="D81" s="3">
        <f t="shared" si="12"/>
        <v>3.2617692350843225E-3</v>
      </c>
      <c r="E81" s="2">
        <f t="shared" si="13"/>
        <v>-9.7796149531729389E-3</v>
      </c>
      <c r="F81">
        <f t="shared" si="14"/>
        <v>9.5640868632323743E-5</v>
      </c>
      <c r="G81" s="2">
        <f t="shared" si="15"/>
        <v>2.9708023676258067E-2</v>
      </c>
      <c r="H81">
        <f t="shared" si="16"/>
        <v>8.8256667074910989E-4</v>
      </c>
      <c r="I81">
        <f t="shared" si="17"/>
        <v>2.9873469247069399E-7</v>
      </c>
      <c r="Q81" s="9"/>
      <c r="R81">
        <v>2.3888761943330946E-2</v>
      </c>
    </row>
    <row r="82" spans="1:18" ht="16" thickBot="1" x14ac:dyDescent="0.25">
      <c r="A82" s="5">
        <v>43008</v>
      </c>
      <c r="B82" s="4">
        <v>1.9302676329669088E-2</v>
      </c>
      <c r="C82" s="4">
        <v>1.2120095781911866E-2</v>
      </c>
      <c r="D82" s="3">
        <f t="shared" si="12"/>
        <v>1.8097497504722879E-2</v>
      </c>
      <c r="E82" s="2">
        <f t="shared" si="13"/>
        <v>8.976495101950515E-3</v>
      </c>
      <c r="F82">
        <f t="shared" si="14"/>
        <v>8.0577464315341585E-5</v>
      </c>
      <c r="G82" s="2">
        <f t="shared" si="15"/>
        <v>-5.9774017228110127E-3</v>
      </c>
      <c r="H82">
        <f t="shared" si="16"/>
        <v>3.5729331355864062E-5</v>
      </c>
      <c r="I82">
        <f t="shared" si="17"/>
        <v>3.725933134879673E-4</v>
      </c>
      <c r="Q82" s="9"/>
      <c r="R82">
        <v>-2.6061880186496238E-2</v>
      </c>
    </row>
    <row r="83" spans="1:18" ht="16" thickBot="1" x14ac:dyDescent="0.25">
      <c r="A83" s="5">
        <v>43039</v>
      </c>
      <c r="B83" s="4">
        <v>2.2189828300208214E-2</v>
      </c>
      <c r="C83" s="4">
        <v>2.0856082113998697E-2</v>
      </c>
      <c r="D83" s="3">
        <f t="shared" si="12"/>
        <v>2.0381180101070706E-2</v>
      </c>
      <c r="E83" s="2">
        <f t="shared" si="13"/>
        <v>1.1863647072489641E-2</v>
      </c>
      <c r="F83">
        <f t="shared" si="14"/>
        <v>1.4074612186059204E-4</v>
      </c>
      <c r="G83" s="2">
        <f t="shared" si="15"/>
        <v>4.7490201292799128E-4</v>
      </c>
      <c r="H83">
        <f t="shared" si="16"/>
        <v>2.2553192188305799E-7</v>
      </c>
      <c r="I83">
        <f t="shared" si="17"/>
        <v>4.9238847999272131E-4</v>
      </c>
      <c r="Q83" s="9"/>
      <c r="R83">
        <v>-2.8838502039060271E-2</v>
      </c>
    </row>
    <row r="84" spans="1:18" ht="16" thickBot="1" x14ac:dyDescent="0.25">
      <c r="A84" s="5">
        <v>43069</v>
      </c>
      <c r="B84" s="4">
        <v>2.8081044037432834E-2</v>
      </c>
      <c r="C84" s="4">
        <v>3.9326844225763935E-2</v>
      </c>
      <c r="D84" s="3">
        <f t="shared" si="12"/>
        <v>2.5041020313055832E-2</v>
      </c>
      <c r="E84" s="2">
        <f t="shared" si="13"/>
        <v>1.7754862809714261E-2</v>
      </c>
      <c r="F84">
        <f t="shared" si="14"/>
        <v>3.1523515339177457E-4</v>
      </c>
      <c r="G84" s="2">
        <f t="shared" si="15"/>
        <v>1.4285823912708103E-2</v>
      </c>
      <c r="H84">
        <f t="shared" si="16"/>
        <v>2.0408476486490266E-4</v>
      </c>
      <c r="I84">
        <f t="shared" si="17"/>
        <v>7.8854503423224213E-4</v>
      </c>
      <c r="Q84" s="9"/>
      <c r="R84">
        <v>-2.575271585209607E-4</v>
      </c>
    </row>
    <row r="85" spans="1:18" ht="16" thickBot="1" x14ac:dyDescent="0.25">
      <c r="A85" s="5">
        <v>43100</v>
      </c>
      <c r="B85" s="4">
        <v>9.8318450742365116E-3</v>
      </c>
      <c r="C85" s="4">
        <v>2.0926277873070331E-2</v>
      </c>
      <c r="D85" s="3">
        <f t="shared" si="12"/>
        <v>1.0606249128580169E-2</v>
      </c>
      <c r="E85" s="2">
        <f t="shared" si="13"/>
        <v>-4.9433615348206186E-4</v>
      </c>
      <c r="F85">
        <f t="shared" si="14"/>
        <v>2.4436823263944063E-7</v>
      </c>
      <c r="G85" s="2">
        <f t="shared" si="15"/>
        <v>1.0320028744490162E-2</v>
      </c>
      <c r="H85">
        <f t="shared" si="16"/>
        <v>1.0650299328710319E-4</v>
      </c>
      <c r="I85">
        <f t="shared" si="17"/>
        <v>9.6665177563788756E-5</v>
      </c>
      <c r="Q85" s="9"/>
      <c r="R85">
        <v>6.1773051686819874E-2</v>
      </c>
    </row>
    <row r="86" spans="1:18" ht="16" thickBot="1" x14ac:dyDescent="0.25">
      <c r="A86" s="5">
        <v>43131</v>
      </c>
      <c r="B86" s="4">
        <v>5.6178494549969704E-2</v>
      </c>
      <c r="C86" s="4">
        <v>8.6609674509083412E-2</v>
      </c>
      <c r="D86" s="3">
        <f t="shared" si="12"/>
        <v>4.7265572187006208E-2</v>
      </c>
      <c r="E86" s="2">
        <f t="shared" si="13"/>
        <v>4.5852313322251134E-2</v>
      </c>
      <c r="F86">
        <f t="shared" si="14"/>
        <v>2.102434637001889E-3</v>
      </c>
      <c r="G86" s="2">
        <f t="shared" si="15"/>
        <v>3.9344102322077204E-2</v>
      </c>
      <c r="H86">
        <f t="shared" si="16"/>
        <v>1.5479583875300808E-3</v>
      </c>
      <c r="I86">
        <f t="shared" si="17"/>
        <v>3.1560232499009758E-3</v>
      </c>
      <c r="Q86" s="9"/>
      <c r="R86">
        <v>1.4397086895620597E-2</v>
      </c>
    </row>
    <row r="87" spans="1:18" ht="16" thickBot="1" x14ac:dyDescent="0.25">
      <c r="A87" s="5">
        <v>43159</v>
      </c>
      <c r="B87" s="4">
        <v>-3.8947167504676861E-2</v>
      </c>
      <c r="C87" s="4">
        <v>-4.058770149397728E-2</v>
      </c>
      <c r="D87" s="3">
        <f t="shared" si="12"/>
        <v>-2.7977027134738628E-2</v>
      </c>
      <c r="E87" s="2">
        <f t="shared" si="13"/>
        <v>-4.9273348732395431E-2</v>
      </c>
      <c r="F87">
        <f t="shared" si="14"/>
        <v>2.4278628953042546E-3</v>
      </c>
      <c r="G87" s="2">
        <f t="shared" si="15"/>
        <v>-1.2610674359238652E-2</v>
      </c>
      <c r="H87">
        <f t="shared" si="16"/>
        <v>1.5902910779475919E-4</v>
      </c>
      <c r="I87">
        <f t="shared" si="17"/>
        <v>1.5168818566373573E-3</v>
      </c>
      <c r="Q87" s="9"/>
      <c r="R87">
        <v>-6.2020732805596335E-3</v>
      </c>
    </row>
    <row r="88" spans="1:18" ht="16" thickBot="1" x14ac:dyDescent="0.25">
      <c r="A88" s="5">
        <v>43190</v>
      </c>
      <c r="B88" s="4">
        <v>-2.6886184436862748E-2</v>
      </c>
      <c r="C88" s="4">
        <v>-3.5938759065269998E-2</v>
      </c>
      <c r="D88" s="3">
        <f t="shared" si="12"/>
        <v>-1.8437017669400479E-2</v>
      </c>
      <c r="E88" s="2">
        <f t="shared" si="13"/>
        <v>-3.7212365664581318E-2</v>
      </c>
      <c r="F88">
        <f t="shared" si="14"/>
        <v>1.3847601583545106E-3</v>
      </c>
      <c r="G88" s="2">
        <f t="shared" si="15"/>
        <v>-1.7501741395869519E-2</v>
      </c>
      <c r="H88">
        <f t="shared" si="16"/>
        <v>3.0631095188789274E-4</v>
      </c>
      <c r="I88">
        <f t="shared" si="17"/>
        <v>7.2286691357300063E-4</v>
      </c>
      <c r="Q88" s="9"/>
      <c r="R88">
        <v>3.9980245895268468E-2</v>
      </c>
    </row>
    <row r="89" spans="1:18" ht="16" thickBot="1" x14ac:dyDescent="0.25">
      <c r="A89" s="5">
        <v>43220</v>
      </c>
      <c r="B89" s="4">
        <v>2.7200828840745483E-3</v>
      </c>
      <c r="C89" s="4">
        <v>-2.8251420929454985E-2</v>
      </c>
      <c r="D89" s="3">
        <f t="shared" si="12"/>
        <v>4.9809797597479243E-3</v>
      </c>
      <c r="E89" s="2">
        <f t="shared" si="13"/>
        <v>-7.6060983436440251E-3</v>
      </c>
      <c r="F89">
        <f t="shared" si="14"/>
        <v>5.7852732013184383E-5</v>
      </c>
      <c r="G89" s="2">
        <f t="shared" si="15"/>
        <v>-3.3232400689202912E-2</v>
      </c>
      <c r="H89">
        <f t="shared" si="16"/>
        <v>1.1043924555677342E-3</v>
      </c>
      <c r="I89">
        <f t="shared" si="17"/>
        <v>7.3988508962353127E-6</v>
      </c>
      <c r="Q89" s="9"/>
      <c r="R89">
        <v>1.3641056785506322E-2</v>
      </c>
    </row>
    <row r="90" spans="1:18" ht="16" thickBot="1" x14ac:dyDescent="0.25">
      <c r="A90" s="5">
        <v>43251</v>
      </c>
      <c r="B90" s="4">
        <v>2.1610392796586053E-2</v>
      </c>
      <c r="C90" s="4">
        <v>-1.1869946671254072E-2</v>
      </c>
      <c r="D90" s="3">
        <f t="shared" si="12"/>
        <v>1.9922857578103245E-2</v>
      </c>
      <c r="E90" s="2">
        <f t="shared" si="13"/>
        <v>1.128421156886748E-2</v>
      </c>
      <c r="F90">
        <f t="shared" si="14"/>
        <v>1.2733343073096268E-4</v>
      </c>
      <c r="G90" s="2">
        <f t="shared" si="15"/>
        <v>-3.179280424935732E-2</v>
      </c>
      <c r="H90">
        <f t="shared" si="16"/>
        <v>1.0107824020379528E-3</v>
      </c>
      <c r="I90">
        <f t="shared" si="17"/>
        <v>4.6700907682273838E-4</v>
      </c>
      <c r="Q90" s="9"/>
      <c r="R90">
        <v>-2.3121128301569274E-2</v>
      </c>
    </row>
    <row r="91" spans="1:18" ht="16" thickBot="1" x14ac:dyDescent="0.25">
      <c r="A91" s="5">
        <v>43281</v>
      </c>
      <c r="B91" s="4">
        <v>4.8419161083466111E-3</v>
      </c>
      <c r="C91" s="4">
        <v>-1.7966538997214454E-2</v>
      </c>
      <c r="D91" s="3">
        <f t="shared" si="12"/>
        <v>6.6593097042980482E-3</v>
      </c>
      <c r="E91" s="2">
        <f t="shared" si="13"/>
        <v>-5.4842651193719623E-3</v>
      </c>
      <c r="F91">
        <f t="shared" si="14"/>
        <v>3.0077163899559964E-5</v>
      </c>
      <c r="G91" s="2">
        <f t="shared" si="15"/>
        <v>-2.4625848701512503E-2</v>
      </c>
      <c r="H91">
        <f t="shared" si="16"/>
        <v>6.0643242426978506E-4</v>
      </c>
      <c r="I91">
        <f t="shared" si="17"/>
        <v>2.3444151600266392E-5</v>
      </c>
      <c r="Q91" s="9"/>
      <c r="R91">
        <v>-2.1627625165988741E-2</v>
      </c>
    </row>
    <row r="92" spans="1:18" ht="16" thickBot="1" x14ac:dyDescent="0.25">
      <c r="A92" s="5">
        <v>43312</v>
      </c>
      <c r="B92" s="4">
        <v>3.6019762305947056E-2</v>
      </c>
      <c r="C92" s="4">
        <v>6.9174547256610763E-2</v>
      </c>
      <c r="D92" s="3">
        <f t="shared" si="12"/>
        <v>3.132039629745513E-2</v>
      </c>
      <c r="E92" s="2">
        <f t="shared" si="13"/>
        <v>2.5693581078228483E-2</v>
      </c>
      <c r="F92">
        <f t="shared" si="14"/>
        <v>6.6016010862350073E-4</v>
      </c>
      <c r="G92" s="2">
        <f t="shared" si="15"/>
        <v>3.7854150959155633E-2</v>
      </c>
      <c r="H92">
        <f t="shared" si="16"/>
        <v>1.4329367448385434E-3</v>
      </c>
      <c r="I92">
        <f t="shared" si="17"/>
        <v>1.2974232765769244E-3</v>
      </c>
      <c r="Q92" s="9"/>
      <c r="R92">
        <v>-5.7052896440405714E-3</v>
      </c>
    </row>
    <row r="93" spans="1:18" ht="16" thickBot="1" x14ac:dyDescent="0.25">
      <c r="A93" s="5">
        <v>43343</v>
      </c>
      <c r="B93" s="4">
        <v>3.0262894579943689E-2</v>
      </c>
      <c r="C93" s="4">
        <v>4.7255844801856961E-2</v>
      </c>
      <c r="D93" s="3">
        <f t="shared" si="12"/>
        <v>2.6766822821066412E-2</v>
      </c>
      <c r="E93" s="2">
        <f t="shared" si="13"/>
        <v>1.9936713352225115E-2</v>
      </c>
      <c r="F93">
        <f t="shared" si="14"/>
        <v>3.974725392887912E-4</v>
      </c>
      <c r="G93" s="2">
        <f t="shared" si="15"/>
        <v>2.0489021980790549E-2</v>
      </c>
      <c r="H93">
        <f t="shared" si="16"/>
        <v>4.1980002172931828E-4</v>
      </c>
      <c r="I93">
        <f t="shared" si="17"/>
        <v>9.1584278835678506E-4</v>
      </c>
      <c r="Q93" s="9"/>
      <c r="R93">
        <v>-2.8422244324275883E-2</v>
      </c>
    </row>
    <row r="94" spans="1:18" ht="16" thickBot="1" x14ac:dyDescent="0.25">
      <c r="A94" s="5">
        <v>43373</v>
      </c>
      <c r="B94" s="4">
        <v>4.2944638745812114E-3</v>
      </c>
      <c r="C94" s="4">
        <v>1.3299715009499558E-2</v>
      </c>
      <c r="D94" s="3">
        <f t="shared" si="12"/>
        <v>6.2262853428030306E-3</v>
      </c>
      <c r="E94" s="2">
        <f t="shared" si="13"/>
        <v>-6.031717353137362E-3</v>
      </c>
      <c r="F94">
        <f t="shared" si="14"/>
        <v>3.6381614228138386E-5</v>
      </c>
      <c r="G94" s="2">
        <f t="shared" si="15"/>
        <v>7.073429666696527E-3</v>
      </c>
      <c r="H94">
        <f t="shared" si="16"/>
        <v>5.0033407249702542E-5</v>
      </c>
      <c r="I94">
        <f t="shared" si="17"/>
        <v>1.844241997008307E-5</v>
      </c>
      <c r="Q94" s="9"/>
      <c r="R94">
        <v>-4.5659651712662477E-3</v>
      </c>
    </row>
    <row r="95" spans="1:18" ht="16" thickBot="1" x14ac:dyDescent="0.25">
      <c r="A95" s="5">
        <v>43404</v>
      </c>
      <c r="B95" s="4">
        <v>-6.9401252196493624E-2</v>
      </c>
      <c r="C95" s="4">
        <v>-3.8422025246558467E-2</v>
      </c>
      <c r="D95" s="3">
        <f t="shared" si="12"/>
        <v>-5.2065632067238257E-2</v>
      </c>
      <c r="E95" s="2">
        <f t="shared" si="13"/>
        <v>-7.9727433424212193E-2</v>
      </c>
      <c r="F95">
        <f t="shared" si="14"/>
        <v>6.3564636404121874E-3</v>
      </c>
      <c r="G95" s="2">
        <f t="shared" si="15"/>
        <v>1.3643606820679791E-2</v>
      </c>
      <c r="H95">
        <f t="shared" si="16"/>
        <v>1.8614800707730011E-4</v>
      </c>
      <c r="I95">
        <f t="shared" si="17"/>
        <v>4.8165338064413109E-3</v>
      </c>
      <c r="Q95" s="9"/>
      <c r="R95">
        <v>-3.2532533556118487E-2</v>
      </c>
    </row>
    <row r="96" spans="1:18" ht="16" thickBot="1" x14ac:dyDescent="0.25">
      <c r="A96" s="5">
        <v>43434</v>
      </c>
      <c r="B96" s="4">
        <v>1.7859296884204179E-2</v>
      </c>
      <c r="C96" s="4">
        <v>5.9456297427731064E-2</v>
      </c>
      <c r="D96" s="3">
        <f t="shared" si="12"/>
        <v>1.6955811665816764E-2</v>
      </c>
      <c r="E96" s="2">
        <f t="shared" si="13"/>
        <v>7.5331156564856054E-3</v>
      </c>
      <c r="F96">
        <f t="shared" si="14"/>
        <v>5.6747831493988555E-5</v>
      </c>
      <c r="G96" s="2">
        <f t="shared" si="15"/>
        <v>4.25004857619143E-2</v>
      </c>
      <c r="H96">
        <f t="shared" si="16"/>
        <v>1.80629128999868E-3</v>
      </c>
      <c r="I96">
        <f t="shared" si="17"/>
        <v>3.189544851981451E-4</v>
      </c>
      <c r="Q96" s="9"/>
      <c r="R96">
        <v>2.6224296884491308E-2</v>
      </c>
    </row>
    <row r="97" spans="1:18" ht="16" thickBot="1" x14ac:dyDescent="0.25">
      <c r="A97" s="5">
        <v>43465</v>
      </c>
      <c r="B97" s="4">
        <v>-9.1779377093156755E-2</v>
      </c>
      <c r="C97" s="4">
        <v>-6.1349693251533721E-2</v>
      </c>
      <c r="D97" s="3">
        <f t="shared" si="12"/>
        <v>-6.9766305563779135E-2</v>
      </c>
      <c r="E97" s="2">
        <f t="shared" si="13"/>
        <v>-0.10210555832087533</v>
      </c>
      <c r="F97">
        <f t="shared" si="14"/>
        <v>1.0425545040017673E-2</v>
      </c>
      <c r="G97" s="2">
        <f t="shared" si="15"/>
        <v>8.416612312245414E-3</v>
      </c>
      <c r="H97">
        <f t="shared" si="16"/>
        <v>7.0839362814641087E-5</v>
      </c>
      <c r="I97">
        <f t="shared" si="17"/>
        <v>8.4234540596078676E-3</v>
      </c>
      <c r="Q97" s="9"/>
      <c r="R97">
        <v>-6.9260672351009051E-3</v>
      </c>
    </row>
    <row r="98" spans="1:18" ht="16" thickBot="1" x14ac:dyDescent="0.25">
      <c r="A98" s="5">
        <v>43496</v>
      </c>
      <c r="B98" s="4">
        <v>7.8685848280793724E-2</v>
      </c>
      <c r="C98" s="4">
        <v>1.7973856209150263E-2</v>
      </c>
      <c r="D98" s="3">
        <f t="shared" ref="D98:D129" si="18">B98*$L$8+$L$9</f>
        <v>6.5068463246921296E-2</v>
      </c>
      <c r="E98" s="2">
        <f t="shared" ref="E98:E129" si="19">B98-$L$2</f>
        <v>6.8359667053075154E-2</v>
      </c>
      <c r="F98">
        <f t="shared" ref="F98:F129" si="20">E98^2</f>
        <v>4.673044079607289E-3</v>
      </c>
      <c r="G98" s="2">
        <f t="shared" ref="G98:G129" si="21">C98-D98</f>
        <v>-4.7094607037771033E-2</v>
      </c>
      <c r="H98">
        <f t="shared" ref="H98:H129" si="22">G98^2</f>
        <v>2.217902012042073E-3</v>
      </c>
      <c r="I98">
        <f t="shared" ref="I98:I129" si="23">B98^2</f>
        <v>6.191462719668089E-3</v>
      </c>
      <c r="Q98" s="9"/>
      <c r="R98">
        <v>-1.7909888964556323E-2</v>
      </c>
    </row>
    <row r="99" spans="1:18" ht="16" thickBot="1" x14ac:dyDescent="0.25">
      <c r="A99" s="5">
        <v>43524</v>
      </c>
      <c r="B99" s="4">
        <v>2.9729211783815712E-2</v>
      </c>
      <c r="C99" s="4">
        <v>-2.985553772070626E-2</v>
      </c>
      <c r="D99" s="3">
        <f t="shared" si="18"/>
        <v>2.634468982428477E-2</v>
      </c>
      <c r="E99" s="2">
        <f t="shared" si="19"/>
        <v>1.9403030556097139E-2</v>
      </c>
      <c r="F99">
        <f t="shared" si="20"/>
        <v>3.7647759476083922E-4</v>
      </c>
      <c r="G99" s="2">
        <f t="shared" si="21"/>
        <v>-5.620022754499103E-2</v>
      </c>
      <c r="H99">
        <f t="shared" si="22"/>
        <v>3.1584655761087684E-3</v>
      </c>
      <c r="I99">
        <f t="shared" si="23"/>
        <v>8.8382603328696703E-4</v>
      </c>
      <c r="Q99" s="9"/>
      <c r="R99">
        <v>-2.0548454412383246E-2</v>
      </c>
    </row>
    <row r="100" spans="1:18" ht="16" thickBot="1" x14ac:dyDescent="0.25">
      <c r="A100" s="5">
        <v>43555</v>
      </c>
      <c r="B100" s="4">
        <v>1.7923726321195987E-2</v>
      </c>
      <c r="C100" s="4">
        <v>-3.2594308405029526E-3</v>
      </c>
      <c r="D100" s="3">
        <f t="shared" si="18"/>
        <v>1.7006774131752774E-2</v>
      </c>
      <c r="E100" s="2">
        <f t="shared" si="19"/>
        <v>7.597545093477414E-3</v>
      </c>
      <c r="F100">
        <f t="shared" si="20"/>
        <v>5.7722691447422729E-5</v>
      </c>
      <c r="G100" s="2">
        <f t="shared" si="21"/>
        <v>-2.0266204972255727E-2</v>
      </c>
      <c r="H100">
        <f t="shared" si="22"/>
        <v>4.1071906397748274E-4</v>
      </c>
      <c r="I100">
        <f t="shared" si="23"/>
        <v>3.2125996523713383E-4</v>
      </c>
      <c r="Q100" s="9"/>
      <c r="R100">
        <v>-1.9044253362147805E-2</v>
      </c>
    </row>
    <row r="101" spans="1:18" ht="16" thickBot="1" x14ac:dyDescent="0.25">
      <c r="A101" s="5">
        <v>43585</v>
      </c>
      <c r="B101" s="4">
        <v>3.9313813986679325E-2</v>
      </c>
      <c r="C101" s="4">
        <v>7.9229155254552319E-2</v>
      </c>
      <c r="D101" s="3">
        <f t="shared" si="18"/>
        <v>3.3925928867794303E-2</v>
      </c>
      <c r="E101" s="2">
        <f t="shared" si="19"/>
        <v>2.8987632758960751E-2</v>
      </c>
      <c r="F101">
        <f t="shared" si="20"/>
        <v>8.4028285296837446E-4</v>
      </c>
      <c r="G101" s="2">
        <f t="shared" si="21"/>
        <v>4.5303226386758016E-2</v>
      </c>
      <c r="H101">
        <f t="shared" si="22"/>
        <v>2.0523823210498479E-3</v>
      </c>
      <c r="I101">
        <f t="shared" si="23"/>
        <v>1.545575970179223E-3</v>
      </c>
      <c r="Q101" s="9"/>
      <c r="R101">
        <v>-6.6431596500892507E-3</v>
      </c>
    </row>
    <row r="102" spans="1:18" ht="16" thickBot="1" x14ac:dyDescent="0.25">
      <c r="A102" s="5">
        <v>43616</v>
      </c>
      <c r="B102" s="4">
        <v>-6.5777027995349791E-2</v>
      </c>
      <c r="C102" s="4">
        <v>-8.6194195699698661E-2</v>
      </c>
      <c r="D102" s="3">
        <f t="shared" si="18"/>
        <v>-4.9198939278680506E-2</v>
      </c>
      <c r="E102" s="2">
        <f t="shared" si="19"/>
        <v>-7.610320922306836E-2</v>
      </c>
      <c r="F102">
        <f t="shared" si="20"/>
        <v>5.7916984540501175E-3</v>
      </c>
      <c r="G102" s="2">
        <f t="shared" si="21"/>
        <v>-3.6995256421018155E-2</v>
      </c>
      <c r="H102">
        <f t="shared" si="22"/>
        <v>1.3686489976568849E-3</v>
      </c>
      <c r="I102">
        <f t="shared" si="23"/>
        <v>4.3266174119010303E-3</v>
      </c>
      <c r="Q102" s="9"/>
      <c r="R102">
        <v>1.9909172738857582E-2</v>
      </c>
    </row>
    <row r="103" spans="1:18" ht="16" thickBot="1" x14ac:dyDescent="0.25">
      <c r="A103" s="5">
        <v>43646</v>
      </c>
      <c r="B103" s="4">
        <v>6.8929293833237093E-2</v>
      </c>
      <c r="C103" s="4">
        <v>7.1669023092977957E-2</v>
      </c>
      <c r="D103" s="3">
        <f t="shared" si="18"/>
        <v>5.7351213230447617E-2</v>
      </c>
      <c r="E103" s="2">
        <f t="shared" si="19"/>
        <v>5.8603112605518523E-2</v>
      </c>
      <c r="F103">
        <f t="shared" si="20"/>
        <v>3.4343248070550841E-3</v>
      </c>
      <c r="G103" s="2">
        <f t="shared" si="21"/>
        <v>1.431780986253034E-2</v>
      </c>
      <c r="H103">
        <f t="shared" si="22"/>
        <v>2.0499967925957107E-4</v>
      </c>
      <c r="I103">
        <f t="shared" si="23"/>
        <v>4.7512475483487372E-3</v>
      </c>
      <c r="Q103" s="9"/>
      <c r="R103">
        <v>4.2601101621486615E-2</v>
      </c>
    </row>
    <row r="104" spans="1:18" ht="16" thickBot="1" x14ac:dyDescent="0.25">
      <c r="A104" s="5">
        <v>43677</v>
      </c>
      <c r="B104" s="4">
        <v>1.3127586423790971E-2</v>
      </c>
      <c r="C104" s="4">
        <v>-3.0419349772263238E-2</v>
      </c>
      <c r="D104" s="3">
        <f t="shared" si="18"/>
        <v>1.321311819499651E-2</v>
      </c>
      <c r="E104" s="2">
        <f t="shared" si="19"/>
        <v>2.8014051960723978E-3</v>
      </c>
      <c r="F104">
        <f t="shared" si="20"/>
        <v>7.8478710725814288E-6</v>
      </c>
      <c r="G104" s="2">
        <f t="shared" si="21"/>
        <v>-4.3632467967259746E-2</v>
      </c>
      <c r="H104">
        <f t="shared" si="22"/>
        <v>1.9037922609139479E-3</v>
      </c>
      <c r="I104">
        <f t="shared" si="23"/>
        <v>1.7233352531410102E-4</v>
      </c>
      <c r="Q104" s="9"/>
      <c r="R104">
        <v>-1.2413591787167333E-3</v>
      </c>
    </row>
    <row r="105" spans="1:18" ht="16" thickBot="1" x14ac:dyDescent="0.25">
      <c r="A105" s="5">
        <v>43708</v>
      </c>
      <c r="B105" s="4">
        <v>-1.8091903240630258E-2</v>
      </c>
      <c r="C105" s="4">
        <v>-1.8103710807150786E-2</v>
      </c>
      <c r="D105" s="3">
        <f t="shared" si="18"/>
        <v>-1.1480907592702682E-2</v>
      </c>
      <c r="E105" s="2">
        <f t="shared" si="19"/>
        <v>-2.8418084468348832E-2</v>
      </c>
      <c r="F105">
        <f t="shared" si="20"/>
        <v>8.075875248502091E-4</v>
      </c>
      <c r="G105" s="2">
        <f t="shared" si="21"/>
        <v>-6.6228032144481034E-3</v>
      </c>
      <c r="H105">
        <f t="shared" si="22"/>
        <v>4.3861522417304131E-5</v>
      </c>
      <c r="I105">
        <f t="shared" si="23"/>
        <v>3.2731696286832763E-4</v>
      </c>
      <c r="Q105" s="9"/>
      <c r="R105">
        <v>2.1038682905186408E-2</v>
      </c>
    </row>
    <row r="106" spans="1:18" ht="16" thickBot="1" x14ac:dyDescent="0.25">
      <c r="A106" s="5">
        <v>43738</v>
      </c>
      <c r="B106" s="4">
        <v>1.7180885878367524E-2</v>
      </c>
      <c r="C106" s="4">
        <v>2.8883653712905577E-2</v>
      </c>
      <c r="D106" s="3">
        <f t="shared" si="18"/>
        <v>1.6419201392783342E-2</v>
      </c>
      <c r="E106" s="2">
        <f t="shared" si="19"/>
        <v>6.854704650648951E-3</v>
      </c>
      <c r="F106">
        <f t="shared" si="20"/>
        <v>4.6986975847628358E-5</v>
      </c>
      <c r="G106" s="2">
        <f t="shared" si="21"/>
        <v>1.2464452320122235E-2</v>
      </c>
      <c r="H106">
        <f t="shared" si="22"/>
        <v>1.5536257164060056E-4</v>
      </c>
      <c r="I106">
        <f t="shared" si="23"/>
        <v>2.9518283956548864E-4</v>
      </c>
      <c r="Q106" s="9"/>
      <c r="R106">
        <v>-4.8313993343970282E-2</v>
      </c>
    </row>
    <row r="107" spans="1:18" ht="16" thickBot="1" x14ac:dyDescent="0.25">
      <c r="A107" s="5">
        <v>43769</v>
      </c>
      <c r="B107" s="4">
        <v>2.0434172707484377E-2</v>
      </c>
      <c r="C107" s="4">
        <v>2.2791118294466228E-2</v>
      </c>
      <c r="D107" s="3">
        <f t="shared" si="18"/>
        <v>1.8992489736588271E-2</v>
      </c>
      <c r="E107" s="2">
        <f t="shared" si="19"/>
        <v>1.0107991479765804E-2</v>
      </c>
      <c r="F107">
        <f t="shared" si="20"/>
        <v>1.0217149175501808E-4</v>
      </c>
      <c r="G107" s="2">
        <f t="shared" si="21"/>
        <v>3.7986285578779574E-3</v>
      </c>
      <c r="H107">
        <f t="shared" si="22"/>
        <v>1.442957892072597E-5</v>
      </c>
      <c r="I107">
        <f t="shared" si="23"/>
        <v>4.1755541423929939E-4</v>
      </c>
      <c r="Q107" s="9"/>
      <c r="R107">
        <v>2.1398794968009609E-2</v>
      </c>
    </row>
    <row r="108" spans="1:18" ht="16" thickBot="1" x14ac:dyDescent="0.25">
      <c r="A108" s="5">
        <v>43799</v>
      </c>
      <c r="B108" s="4">
        <v>3.4045760887282395E-2</v>
      </c>
      <c r="C108" s="4">
        <v>3.6232978720068587E-2</v>
      </c>
      <c r="D108" s="3">
        <f t="shared" si="18"/>
        <v>2.9758998514806158E-2</v>
      </c>
      <c r="E108" s="2">
        <f t="shared" si="19"/>
        <v>2.3719579659563821E-2</v>
      </c>
      <c r="F108">
        <f t="shared" si="20"/>
        <v>5.6261845922639375E-4</v>
      </c>
      <c r="G108" s="2">
        <f t="shared" si="21"/>
        <v>6.4739802052624293E-3</v>
      </c>
      <c r="H108">
        <f t="shared" si="22"/>
        <v>4.1912419698129767E-5</v>
      </c>
      <c r="I108">
        <f t="shared" si="23"/>
        <v>1.1591138343940077E-3</v>
      </c>
      <c r="Q108" s="9"/>
      <c r="R108">
        <v>-3.5493052503742413E-2</v>
      </c>
    </row>
    <row r="109" spans="1:18" ht="16" thickBot="1" x14ac:dyDescent="0.25">
      <c r="A109" s="5">
        <v>43830</v>
      </c>
      <c r="B109" s="4">
        <v>2.8590218480137208E-2</v>
      </c>
      <c r="C109" s="4">
        <v>2.7518985076662839E-2</v>
      </c>
      <c r="D109" s="3">
        <f t="shared" si="18"/>
        <v>2.5443767665870778E-2</v>
      </c>
      <c r="E109" s="2">
        <f t="shared" si="19"/>
        <v>1.8264037252418635E-2</v>
      </c>
      <c r="F109">
        <f t="shared" si="20"/>
        <v>3.3357505675773563E-4</v>
      </c>
      <c r="G109" s="2">
        <f t="shared" si="21"/>
        <v>2.0752174107920608E-3</v>
      </c>
      <c r="H109">
        <f t="shared" si="22"/>
        <v>4.3065273020545052E-6</v>
      </c>
      <c r="I109">
        <f t="shared" si="23"/>
        <v>8.1740059274197912E-4</v>
      </c>
      <c r="Q109" s="9"/>
      <c r="R109">
        <v>4.3322594359777221E-2</v>
      </c>
    </row>
    <row r="110" spans="1:18" ht="16" thickBot="1" x14ac:dyDescent="0.25">
      <c r="A110" s="5">
        <v>43861</v>
      </c>
      <c r="B110" s="4">
        <v>-1.6298325630415E-3</v>
      </c>
      <c r="C110" s="4">
        <v>-1.0583321063635576E-2</v>
      </c>
      <c r="D110" s="3">
        <f t="shared" si="18"/>
        <v>1.5402789225458778E-3</v>
      </c>
      <c r="E110" s="2">
        <f t="shared" si="19"/>
        <v>-1.1956013790760073E-2</v>
      </c>
      <c r="F110">
        <f t="shared" si="20"/>
        <v>1.4294626576484505E-4</v>
      </c>
      <c r="G110" s="2">
        <f t="shared" si="21"/>
        <v>-1.2123599986181453E-2</v>
      </c>
      <c r="H110">
        <f t="shared" si="22"/>
        <v>1.4698167662493893E-4</v>
      </c>
      <c r="I110">
        <f t="shared" si="23"/>
        <v>2.6563541835504253E-6</v>
      </c>
      <c r="Q110" s="9"/>
      <c r="R110">
        <v>-4.4112126064300893E-2</v>
      </c>
    </row>
    <row r="111" spans="1:18" ht="16" thickBot="1" x14ac:dyDescent="0.25">
      <c r="A111" s="5">
        <v>43890</v>
      </c>
      <c r="B111" s="4">
        <v>-8.4108280807849045E-2</v>
      </c>
      <c r="C111" s="4">
        <v>-8.0060504289917067E-2</v>
      </c>
      <c r="D111" s="3">
        <f t="shared" si="18"/>
        <v>-6.3698613505853111E-2</v>
      </c>
      <c r="E111" s="2">
        <f t="shared" si="19"/>
        <v>-9.4434462035567615E-2</v>
      </c>
      <c r="F111">
        <f t="shared" si="20"/>
        <v>8.9178676199470619E-3</v>
      </c>
      <c r="G111" s="2">
        <f t="shared" si="21"/>
        <v>-1.6361890784063957E-2</v>
      </c>
      <c r="H111">
        <f t="shared" si="22"/>
        <v>2.6771147002963702E-4</v>
      </c>
      <c r="I111">
        <f t="shared" si="23"/>
        <v>7.0742029004519881E-3</v>
      </c>
      <c r="Q111" s="9"/>
      <c r="R111">
        <v>1.0130443130239258E-2</v>
      </c>
    </row>
    <row r="112" spans="1:18" ht="16" thickBot="1" x14ac:dyDescent="0.25">
      <c r="A112" s="5">
        <v>43921</v>
      </c>
      <c r="B112" s="4">
        <v>-0.1251201547093802</v>
      </c>
      <c r="C112" s="4">
        <v>-0.12001449387892438</v>
      </c>
      <c r="D112" s="3">
        <f t="shared" si="18"/>
        <v>-9.6138229995818988E-2</v>
      </c>
      <c r="E112" s="2">
        <f t="shared" si="19"/>
        <v>-0.13544633593709879</v>
      </c>
      <c r="F112">
        <f t="shared" si="20"/>
        <v>1.8345709918785418E-2</v>
      </c>
      <c r="G112" s="2">
        <f t="shared" si="21"/>
        <v>-2.3876263883105389E-2</v>
      </c>
      <c r="H112">
        <f t="shared" si="22"/>
        <v>5.7007597701568284E-4</v>
      </c>
      <c r="I112">
        <f t="shared" si="23"/>
        <v>1.5655053114499239E-2</v>
      </c>
      <c r="Q112" s="9"/>
      <c r="R112">
        <v>6.8888576282068986E-2</v>
      </c>
    </row>
    <row r="113" spans="1:18" ht="16" thickBot="1" x14ac:dyDescent="0.25">
      <c r="A113" s="5">
        <v>43951</v>
      </c>
      <c r="B113" s="4">
        <v>0.12684397460846775</v>
      </c>
      <c r="C113" s="4">
        <v>3.5661764705882337E-2</v>
      </c>
      <c r="D113" s="3">
        <f t="shared" si="18"/>
        <v>0.10316063022997517</v>
      </c>
      <c r="E113" s="2">
        <f t="shared" si="19"/>
        <v>0.11651779338074918</v>
      </c>
      <c r="F113">
        <f t="shared" si="20"/>
        <v>1.3576396174318956E-2</v>
      </c>
      <c r="G113" s="2">
        <f t="shared" si="21"/>
        <v>-6.749886552409283E-2</v>
      </c>
      <c r="H113">
        <f t="shared" si="22"/>
        <v>4.5560968470395678E-3</v>
      </c>
      <c r="I113">
        <f t="shared" si="23"/>
        <v>1.608939389447361E-2</v>
      </c>
      <c r="Q113" s="9"/>
      <c r="R113">
        <v>1.2821873866857313E-2</v>
      </c>
    </row>
    <row r="114" spans="1:18" ht="16" thickBot="1" x14ac:dyDescent="0.25">
      <c r="A114" s="5">
        <v>43982</v>
      </c>
      <c r="B114" s="4">
        <v>4.5279923106294362E-2</v>
      </c>
      <c r="C114" s="4">
        <v>-1.0862619808306717E-2</v>
      </c>
      <c r="D114" s="3">
        <f t="shared" si="18"/>
        <v>3.8645008328593439E-2</v>
      </c>
      <c r="E114" s="2">
        <f t="shared" si="19"/>
        <v>3.4953741878575792E-2</v>
      </c>
      <c r="F114">
        <f t="shared" si="20"/>
        <v>1.221764071314103E-3</v>
      </c>
      <c r="G114" s="2">
        <f t="shared" si="21"/>
        <v>-4.9507628136900156E-2</v>
      </c>
      <c r="H114">
        <f t="shared" si="22"/>
        <v>2.4510052437415881E-3</v>
      </c>
      <c r="I114">
        <f t="shared" si="23"/>
        <v>2.0502714365119301E-3</v>
      </c>
      <c r="Q114" s="9"/>
      <c r="R114">
        <v>-9.3592063123852064E-3</v>
      </c>
    </row>
    <row r="115" spans="1:18" ht="16" thickBot="1" x14ac:dyDescent="0.25">
      <c r="A115" s="5">
        <v>44012</v>
      </c>
      <c r="B115" s="4">
        <v>1.8388423939773579E-2</v>
      </c>
      <c r="C115" s="4">
        <v>-4.0697674418604612E-2</v>
      </c>
      <c r="D115" s="3">
        <f t="shared" si="18"/>
        <v>1.7374341157991358E-2</v>
      </c>
      <c r="E115" s="2">
        <f t="shared" si="19"/>
        <v>8.0622427120550059E-3</v>
      </c>
      <c r="F115">
        <f t="shared" si="20"/>
        <v>6.4999757548084056E-5</v>
      </c>
      <c r="G115" s="2">
        <f t="shared" si="21"/>
        <v>-5.807201557659597E-2</v>
      </c>
      <c r="H115">
        <f t="shared" si="22"/>
        <v>3.3723589931284048E-3</v>
      </c>
      <c r="I115">
        <f t="shared" si="23"/>
        <v>3.3813413498883811E-4</v>
      </c>
      <c r="Q115" s="9"/>
      <c r="R115">
        <v>1.2952380451249655E-2</v>
      </c>
    </row>
    <row r="116" spans="1:18" ht="16" thickBot="1" x14ac:dyDescent="0.25">
      <c r="A116" s="5">
        <v>44043</v>
      </c>
      <c r="B116" s="4">
        <v>5.5104528942981901E-2</v>
      </c>
      <c r="C116" s="4">
        <v>9.850729517396184E-2</v>
      </c>
      <c r="D116" s="3">
        <f t="shared" si="18"/>
        <v>4.6416085706633581E-2</v>
      </c>
      <c r="E116" s="2">
        <f t="shared" si="19"/>
        <v>4.4778347715263331E-2</v>
      </c>
      <c r="F116">
        <f t="shared" si="20"/>
        <v>2.0051004241090288E-3</v>
      </c>
      <c r="G116" s="2">
        <f t="shared" si="21"/>
        <v>5.2091209467328259E-2</v>
      </c>
      <c r="H116">
        <f t="shared" si="22"/>
        <v>2.7134941037690692E-3</v>
      </c>
      <c r="I116">
        <f t="shared" si="23"/>
        <v>3.0365091100279301E-3</v>
      </c>
      <c r="Q116" s="9"/>
      <c r="R116">
        <v>-3.0720723801964393E-2</v>
      </c>
    </row>
    <row r="117" spans="1:18" ht="16" thickBot="1" x14ac:dyDescent="0.25">
      <c r="A117" s="5">
        <v>44074</v>
      </c>
      <c r="B117" s="4">
        <v>7.006263851522454E-2</v>
      </c>
      <c r="C117" s="4">
        <v>0.11554978868035048</v>
      </c>
      <c r="D117" s="3">
        <f t="shared" si="18"/>
        <v>5.824766743595132E-2</v>
      </c>
      <c r="E117" s="2">
        <f t="shared" si="19"/>
        <v>5.973645728750597E-2</v>
      </c>
      <c r="F117">
        <f t="shared" si="20"/>
        <v>3.5684443292620252E-3</v>
      </c>
      <c r="G117" s="2">
        <f t="shared" si="21"/>
        <v>5.7302121244399165E-2</v>
      </c>
      <c r="H117">
        <f t="shared" si="22"/>
        <v>3.2835330991078221E-3</v>
      </c>
      <c r="I117">
        <f t="shared" si="23"/>
        <v>4.9087733157150253E-3</v>
      </c>
      <c r="Q117" s="9"/>
      <c r="R117">
        <v>-1.8304497893305526E-2</v>
      </c>
    </row>
    <row r="118" spans="1:18" ht="16" thickBot="1" x14ac:dyDescent="0.25">
      <c r="A118" s="5">
        <v>44104</v>
      </c>
      <c r="B118" s="4">
        <v>-3.9227837158300027E-2</v>
      </c>
      <c r="C118" s="4">
        <v>-2.3076688240322385E-2</v>
      </c>
      <c r="D118" s="3">
        <f t="shared" si="18"/>
        <v>-2.8199031521706355E-2</v>
      </c>
      <c r="E118" s="2">
        <f t="shared" si="19"/>
        <v>-4.9554018386018597E-2</v>
      </c>
      <c r="F118">
        <f t="shared" si="20"/>
        <v>2.455600738201869E-3</v>
      </c>
      <c r="G118" s="2">
        <f t="shared" si="21"/>
        <v>5.1223432813839696E-3</v>
      </c>
      <c r="H118">
        <f t="shared" si="22"/>
        <v>2.6238400692339492E-5</v>
      </c>
      <c r="I118">
        <f t="shared" si="23"/>
        <v>1.5388232081181043E-3</v>
      </c>
      <c r="Q118" s="9"/>
      <c r="R118">
        <v>-9.3229721073838524E-3</v>
      </c>
    </row>
    <row r="119" spans="1:18" ht="16" thickBot="1" x14ac:dyDescent="0.25">
      <c r="A119" s="5">
        <v>44135</v>
      </c>
      <c r="B119" s="4">
        <v>-2.7665753706911711E-2</v>
      </c>
      <c r="C119" s="4">
        <v>-5.4690422842428643E-2</v>
      </c>
      <c r="D119" s="3">
        <f t="shared" si="18"/>
        <v>-1.9053642215951787E-2</v>
      </c>
      <c r="E119" s="2">
        <f t="shared" si="19"/>
        <v>-3.7991934934630281E-2</v>
      </c>
      <c r="F119">
        <f t="shared" si="20"/>
        <v>1.4433871200771808E-3</v>
      </c>
      <c r="G119" s="2">
        <f t="shared" si="21"/>
        <v>-3.5636780626476856E-2</v>
      </c>
      <c r="H119">
        <f t="shared" si="22"/>
        <v>1.2699801334196362E-3</v>
      </c>
      <c r="I119">
        <f t="shared" si="23"/>
        <v>7.6539392817149903E-4</v>
      </c>
      <c r="Q119" s="9"/>
      <c r="R119">
        <v>1.8559616940491304E-2</v>
      </c>
    </row>
    <row r="120" spans="1:18" ht="16" thickBot="1" x14ac:dyDescent="0.25">
      <c r="A120" s="5">
        <v>44165</v>
      </c>
      <c r="B120" s="4">
        <v>0.10754701680089429</v>
      </c>
      <c r="C120" s="4">
        <v>0.13615864012698697</v>
      </c>
      <c r="D120" s="3">
        <f t="shared" si="18"/>
        <v>8.7897101618634038E-2</v>
      </c>
      <c r="E120" s="2">
        <f t="shared" si="19"/>
        <v>9.7220835573175721E-2</v>
      </c>
      <c r="F120">
        <f t="shared" si="20"/>
        <v>9.4518908695464688E-3</v>
      </c>
      <c r="G120" s="2">
        <f t="shared" si="21"/>
        <v>4.8261538508352936E-2</v>
      </c>
      <c r="H120">
        <f t="shared" si="22"/>
        <v>2.3291760991932331E-3</v>
      </c>
      <c r="I120">
        <f t="shared" si="23"/>
        <v>1.1566360822771838E-2</v>
      </c>
      <c r="Q120" s="9"/>
      <c r="R120">
        <v>1.3612820474934055E-2</v>
      </c>
    </row>
    <row r="121" spans="1:18" ht="16" thickBot="1" x14ac:dyDescent="0.25">
      <c r="A121" s="5">
        <v>44196</v>
      </c>
      <c r="B121" s="4">
        <v>3.7120829823122481E-2</v>
      </c>
      <c r="C121" s="4">
        <v>1.2007983985475201E-2</v>
      </c>
      <c r="D121" s="3">
        <f t="shared" si="18"/>
        <v>3.2191319876135993E-2</v>
      </c>
      <c r="E121" s="2">
        <f t="shared" si="19"/>
        <v>2.6794648595403908E-2</v>
      </c>
      <c r="F121">
        <f t="shared" si="20"/>
        <v>7.1795319335118057E-4</v>
      </c>
      <c r="G121" s="2">
        <f t="shared" si="21"/>
        <v>-2.0183335890660792E-2</v>
      </c>
      <c r="H121">
        <f t="shared" si="22"/>
        <v>4.0736704767523605E-4</v>
      </c>
      <c r="I121">
        <f t="shared" si="23"/>
        <v>1.3779560067572194E-3</v>
      </c>
      <c r="Q121" s="9"/>
      <c r="R121">
        <v>2.9708023676258064E-2</v>
      </c>
    </row>
    <row r="122" spans="1:18" ht="16" thickBot="1" x14ac:dyDescent="0.25">
      <c r="A122" s="5">
        <v>44227</v>
      </c>
      <c r="B122" s="4">
        <v>-1.1136310777434488E-2</v>
      </c>
      <c r="C122" s="4">
        <v>-1.0680965455773905E-2</v>
      </c>
      <c r="D122" s="3">
        <f t="shared" si="18"/>
        <v>-5.9791655238492086E-3</v>
      </c>
      <c r="E122" s="2">
        <f t="shared" si="19"/>
        <v>-2.1462492005153062E-2</v>
      </c>
      <c r="F122">
        <f t="shared" si="20"/>
        <v>4.6063856307125908E-4</v>
      </c>
      <c r="G122" s="2">
        <f t="shared" si="21"/>
        <v>-4.7017999319246967E-3</v>
      </c>
      <c r="H122">
        <f t="shared" si="22"/>
        <v>2.2106922599847083E-5</v>
      </c>
      <c r="I122">
        <f t="shared" si="23"/>
        <v>1.2401741773160354E-4</v>
      </c>
      <c r="Q122" s="9"/>
      <c r="R122">
        <v>-5.9774017228110127E-3</v>
      </c>
    </row>
    <row r="123" spans="1:18" ht="16" thickBot="1" x14ac:dyDescent="0.25">
      <c r="A123" s="5">
        <v>44255</v>
      </c>
      <c r="B123" s="4">
        <v>2.6090664481449366E-2</v>
      </c>
      <c r="C123" s="4">
        <v>5.9517611159546568E-2</v>
      </c>
      <c r="D123" s="3">
        <f t="shared" si="18"/>
        <v>2.3466667733590751E-2</v>
      </c>
      <c r="E123" s="2">
        <f t="shared" si="19"/>
        <v>1.5764483253730793E-2</v>
      </c>
      <c r="F123">
        <f t="shared" si="20"/>
        <v>2.485189322571586E-4</v>
      </c>
      <c r="G123" s="2">
        <f t="shared" si="21"/>
        <v>3.6050943425955814E-2</v>
      </c>
      <c r="H123">
        <f t="shared" si="22"/>
        <v>1.2996705219014667E-3</v>
      </c>
      <c r="I123">
        <f t="shared" si="23"/>
        <v>6.8072277308356356E-4</v>
      </c>
      <c r="Q123" s="9"/>
      <c r="R123">
        <v>4.7490201292799128E-4</v>
      </c>
    </row>
    <row r="124" spans="1:18" ht="16" thickBot="1" x14ac:dyDescent="0.25">
      <c r="A124" s="5">
        <v>44286</v>
      </c>
      <c r="B124" s="4">
        <v>4.2439281964457898E-2</v>
      </c>
      <c r="C124" s="4">
        <v>5.7935129246389439E-2</v>
      </c>
      <c r="D124" s="3">
        <f t="shared" si="18"/>
        <v>3.6398114917966976E-2</v>
      </c>
      <c r="E124" s="2">
        <f t="shared" si="19"/>
        <v>3.2113100736739328E-2</v>
      </c>
      <c r="F124">
        <f t="shared" si="20"/>
        <v>1.0312512389279679E-3</v>
      </c>
      <c r="G124" s="2">
        <f t="shared" si="21"/>
        <v>2.1537014328422463E-2</v>
      </c>
      <c r="H124">
        <f t="shared" si="22"/>
        <v>4.6384298618267449E-4</v>
      </c>
      <c r="I124">
        <f t="shared" si="23"/>
        <v>1.8010926536587615E-3</v>
      </c>
      <c r="Q124" s="9"/>
      <c r="R124">
        <v>1.42858239127081E-2</v>
      </c>
    </row>
    <row r="125" spans="1:18" ht="16" thickBot="1" x14ac:dyDescent="0.25">
      <c r="A125" s="5">
        <v>44316</v>
      </c>
      <c r="B125" s="4">
        <v>5.242595975007136E-2</v>
      </c>
      <c r="C125" s="4">
        <v>6.947850931548194E-2</v>
      </c>
      <c r="D125" s="3">
        <f t="shared" si="18"/>
        <v>4.4297388141911698E-2</v>
      </c>
      <c r="E125" s="2">
        <f t="shared" si="19"/>
        <v>4.209977852235279E-2</v>
      </c>
      <c r="F125">
        <f t="shared" si="20"/>
        <v>1.7723913516311572E-3</v>
      </c>
      <c r="G125" s="2">
        <f t="shared" si="21"/>
        <v>2.5181121173570242E-2</v>
      </c>
      <c r="H125">
        <f t="shared" si="22"/>
        <v>6.3408886355802759E-4</v>
      </c>
      <c r="I125">
        <f t="shared" si="23"/>
        <v>2.7484812557161025E-3</v>
      </c>
      <c r="Q125" s="9"/>
      <c r="R125">
        <v>1.0320028744490161E-2</v>
      </c>
    </row>
    <row r="126" spans="1:18" ht="16" thickBot="1" x14ac:dyDescent="0.25">
      <c r="A126" s="5">
        <v>44347</v>
      </c>
      <c r="B126" s="4">
        <v>5.485455831532926E-3</v>
      </c>
      <c r="C126" s="4">
        <v>5.6969672727272602E-2</v>
      </c>
      <c r="D126" s="3">
        <f t="shared" si="18"/>
        <v>7.168337452367942E-3</v>
      </c>
      <c r="E126" s="2">
        <f t="shared" si="19"/>
        <v>-4.8407253961856474E-3</v>
      </c>
      <c r="F126">
        <f t="shared" si="20"/>
        <v>2.3432622361276693E-5</v>
      </c>
      <c r="G126" s="2">
        <f t="shared" si="21"/>
        <v>4.9801335274904657E-2</v>
      </c>
      <c r="H126">
        <f t="shared" si="22"/>
        <v>2.480172995163463E-3</v>
      </c>
      <c r="I126">
        <f t="shared" si="23"/>
        <v>3.0090225679698584E-5</v>
      </c>
      <c r="Q126" s="9"/>
      <c r="R126">
        <v>3.9344102322077197E-2</v>
      </c>
    </row>
    <row r="127" spans="1:18" ht="16" thickBot="1" x14ac:dyDescent="0.25">
      <c r="A127" s="5">
        <v>44377</v>
      </c>
      <c r="B127" s="4">
        <v>2.2213042500697888E-2</v>
      </c>
      <c r="C127" s="4">
        <v>-3.9905941282246338E-2</v>
      </c>
      <c r="D127" s="3">
        <f t="shared" si="18"/>
        <v>2.0399542094546409E-2</v>
      </c>
      <c r="E127" s="2">
        <f t="shared" si="19"/>
        <v>1.1886861272979315E-2</v>
      </c>
      <c r="F127">
        <f t="shared" si="20"/>
        <v>1.4129747092305541E-4</v>
      </c>
      <c r="G127" s="2">
        <f t="shared" si="21"/>
        <v>-6.0305483376792743E-2</v>
      </c>
      <c r="H127">
        <f t="shared" si="22"/>
        <v>3.6367513253086257E-3</v>
      </c>
      <c r="I127">
        <f t="shared" si="23"/>
        <v>4.9341925713781065E-4</v>
      </c>
      <c r="Q127" s="9"/>
      <c r="R127">
        <v>-1.2610674359238655E-2</v>
      </c>
    </row>
    <row r="128" spans="1:18" ht="16" thickBot="1" x14ac:dyDescent="0.25">
      <c r="A128" s="5">
        <v>44408</v>
      </c>
      <c r="B128" s="4">
        <v>2.2749835231048232E-2</v>
      </c>
      <c r="C128" s="4">
        <v>7.142840079217283E-4</v>
      </c>
      <c r="D128" s="3">
        <f t="shared" si="18"/>
        <v>2.0824134990471525E-2</v>
      </c>
      <c r="E128" s="2">
        <f t="shared" si="19"/>
        <v>1.2423654003329659E-2</v>
      </c>
      <c r="F128">
        <f t="shared" si="20"/>
        <v>1.5434717879444905E-4</v>
      </c>
      <c r="G128" s="2">
        <f t="shared" si="21"/>
        <v>-2.0109850982549797E-2</v>
      </c>
      <c r="H128">
        <f t="shared" si="22"/>
        <v>4.0440610654035906E-4</v>
      </c>
      <c r="I128">
        <f t="shared" si="23"/>
        <v>5.1755500303984339E-4</v>
      </c>
      <c r="Q128" s="9"/>
      <c r="R128">
        <v>-1.7501741395869526E-2</v>
      </c>
    </row>
    <row r="129" spans="1:18" ht="16" thickBot="1" x14ac:dyDescent="0.25">
      <c r="A129" s="5">
        <v>44439</v>
      </c>
      <c r="B129" s="4">
        <v>2.8989418612476836E-2</v>
      </c>
      <c r="C129" s="4">
        <v>2.6259250417760782E-2</v>
      </c>
      <c r="D129" s="3">
        <f t="shared" si="18"/>
        <v>2.5759527419422484E-2</v>
      </c>
      <c r="E129" s="2">
        <f t="shared" si="19"/>
        <v>1.8663237384758263E-2</v>
      </c>
      <c r="F129">
        <f t="shared" si="20"/>
        <v>3.4831642967983841E-4</v>
      </c>
      <c r="G129" s="2">
        <f t="shared" si="21"/>
        <v>4.997229983382985E-4</v>
      </c>
      <c r="H129">
        <f t="shared" si="22"/>
        <v>2.4972307506821911E-7</v>
      </c>
      <c r="I129">
        <f t="shared" si="23"/>
        <v>8.403863914894184E-4</v>
      </c>
      <c r="Q129" s="9"/>
      <c r="R129">
        <v>-3.3232400689202912E-2</v>
      </c>
    </row>
    <row r="130" spans="1:18" ht="16" thickBot="1" x14ac:dyDescent="0.25">
      <c r="A130" s="5">
        <v>44469</v>
      </c>
      <c r="B130" s="4">
        <v>-4.7569441768317455E-2</v>
      </c>
      <c r="C130" s="4">
        <v>-4.3082135380321018E-2</v>
      </c>
      <c r="D130" s="3">
        <f t="shared" ref="D130:D161" si="24">B130*$L$8+$L$9</f>
        <v>-3.4797082981378721E-2</v>
      </c>
      <c r="E130" s="2">
        <f t="shared" ref="E130:E161" si="25">B130-$L$2</f>
        <v>-5.7895622996036025E-2</v>
      </c>
      <c r="F130">
        <f t="shared" ref="F130:F161" si="26">E130^2</f>
        <v>3.3519031620991356E-3</v>
      </c>
      <c r="G130" s="2">
        <f t="shared" ref="G130:G161" si="27">C130-D130</f>
        <v>-8.2850523989422969E-3</v>
      </c>
      <c r="H130">
        <f t="shared" ref="H130:H161" si="28">G130^2</f>
        <v>6.8642093253219516E-5</v>
      </c>
      <c r="I130">
        <f t="shared" ref="I130:I161" si="29">B130^2</f>
        <v>2.2628517901493454E-3</v>
      </c>
      <c r="Q130" s="9"/>
      <c r="R130">
        <v>-3.179280424935732E-2</v>
      </c>
    </row>
    <row r="131" spans="1:18" ht="16" thickBot="1" x14ac:dyDescent="0.25">
      <c r="A131" s="5">
        <v>44500</v>
      </c>
      <c r="B131" s="4">
        <v>6.9143405229559418E-2</v>
      </c>
      <c r="C131" s="4">
        <v>5.2319176533541567E-2</v>
      </c>
      <c r="D131" s="3">
        <f t="shared" si="24"/>
        <v>5.7520571294882902E-2</v>
      </c>
      <c r="E131" s="2">
        <f t="shared" si="25"/>
        <v>5.8817224001840848E-2</v>
      </c>
      <c r="F131">
        <f t="shared" si="26"/>
        <v>3.4594658392827233E-3</v>
      </c>
      <c r="G131" s="2">
        <f t="shared" si="27"/>
        <v>-5.2013947613413353E-3</v>
      </c>
      <c r="H131">
        <f t="shared" si="28"/>
        <v>2.7054507463309084E-5</v>
      </c>
      <c r="I131">
        <f t="shared" si="29"/>
        <v>4.7808104867390648E-3</v>
      </c>
      <c r="Q131" s="9"/>
      <c r="R131">
        <v>-2.4625848701512503E-2</v>
      </c>
    </row>
    <row r="132" spans="1:18" ht="16" thickBot="1" x14ac:dyDescent="0.25">
      <c r="A132" s="5">
        <v>44530</v>
      </c>
      <c r="B132" s="4">
        <v>-8.3326852720162492E-3</v>
      </c>
      <c r="C132" s="4">
        <v>-3.7019925987867963E-2</v>
      </c>
      <c r="D132" s="3">
        <f t="shared" si="24"/>
        <v>-3.761550781454839E-3</v>
      </c>
      <c r="E132" s="2">
        <f t="shared" si="25"/>
        <v>-1.8658866499734823E-2</v>
      </c>
      <c r="F132">
        <f t="shared" si="26"/>
        <v>3.4815329905492641E-4</v>
      </c>
      <c r="G132" s="2">
        <f t="shared" si="27"/>
        <v>-3.3258375206413122E-2</v>
      </c>
      <c r="H132">
        <f t="shared" si="28"/>
        <v>1.106119521370555E-3</v>
      </c>
      <c r="I132">
        <f t="shared" si="29"/>
        <v>6.9433643842476509E-5</v>
      </c>
      <c r="Q132" s="9"/>
      <c r="R132">
        <v>3.7854150959155633E-2</v>
      </c>
    </row>
    <row r="133" spans="1:18" ht="16" thickBot="1" x14ac:dyDescent="0.25">
      <c r="A133" s="5">
        <v>44561</v>
      </c>
      <c r="B133" s="4">
        <v>4.3613184423158868E-2</v>
      </c>
      <c r="C133" s="4">
        <v>8.104568264903711E-2</v>
      </c>
      <c r="D133" s="3">
        <f t="shared" si="24"/>
        <v>3.7326649557674466E-2</v>
      </c>
      <c r="E133" s="2">
        <f t="shared" si="25"/>
        <v>3.3287003195440298E-2</v>
      </c>
      <c r="F133">
        <f t="shared" si="26"/>
        <v>1.1080245817332527E-3</v>
      </c>
      <c r="G133" s="2">
        <f t="shared" si="27"/>
        <v>4.3719033091362644E-2</v>
      </c>
      <c r="H133">
        <f t="shared" si="28"/>
        <v>1.9113538544436618E-3</v>
      </c>
      <c r="I133">
        <f t="shared" si="29"/>
        <v>1.9021098555284674E-3</v>
      </c>
      <c r="Q133" s="9"/>
      <c r="R133">
        <v>2.0489021980790549E-2</v>
      </c>
    </row>
    <row r="134" spans="1:18" ht="16" thickBot="1" x14ac:dyDescent="0.25">
      <c r="A134" s="5">
        <v>44592</v>
      </c>
      <c r="B134" s="4">
        <v>-5.2586187915612426E-2</v>
      </c>
      <c r="C134" s="4">
        <v>4.2477510861798962E-2</v>
      </c>
      <c r="D134" s="3">
        <f t="shared" si="24"/>
        <v>-3.8765234288887909E-2</v>
      </c>
      <c r="E134" s="2">
        <f t="shared" si="25"/>
        <v>-6.2912369143330996E-2</v>
      </c>
      <c r="F134">
        <f t="shared" si="26"/>
        <v>3.9579661912267456E-3</v>
      </c>
      <c r="G134" s="2">
        <f t="shared" si="27"/>
        <v>8.1242745150686871E-2</v>
      </c>
      <c r="H134">
        <f t="shared" si="28"/>
        <v>6.6003836396194551E-3</v>
      </c>
      <c r="I134">
        <f t="shared" si="29"/>
        <v>2.7653071594961024E-3</v>
      </c>
      <c r="Q134" s="9"/>
      <c r="R134">
        <v>7.0734296666965252E-3</v>
      </c>
    </row>
    <row r="135" spans="1:18" ht="16" thickBot="1" x14ac:dyDescent="0.25">
      <c r="A135" s="5">
        <v>44620</v>
      </c>
      <c r="B135" s="4">
        <v>-3.1360190036336055E-2</v>
      </c>
      <c r="C135" s="4">
        <v>1.3622673236768357E-2</v>
      </c>
      <c r="D135" s="3">
        <f t="shared" si="24"/>
        <v>-2.1975871469871552E-2</v>
      </c>
      <c r="E135" s="2">
        <f t="shared" si="25"/>
        <v>-4.1686371264054625E-2</v>
      </c>
      <c r="F135">
        <f t="shared" si="26"/>
        <v>1.7377535491645993E-3</v>
      </c>
      <c r="G135" s="2">
        <f t="shared" si="27"/>
        <v>3.5598544706639909E-2</v>
      </c>
      <c r="H135">
        <f t="shared" si="28"/>
        <v>1.2672563852306404E-3</v>
      </c>
      <c r="I135">
        <f t="shared" si="29"/>
        <v>9.8346151911511128E-4</v>
      </c>
      <c r="Q135" s="9"/>
      <c r="R135">
        <v>1.3643606820679777E-2</v>
      </c>
    </row>
    <row r="136" spans="1:18" ht="16" thickBot="1" x14ac:dyDescent="0.25">
      <c r="A136" s="5">
        <v>44651</v>
      </c>
      <c r="B136" s="4">
        <v>3.5774229488720222E-2</v>
      </c>
      <c r="C136" s="4">
        <v>0.11070022364317889</v>
      </c>
      <c r="D136" s="3">
        <f t="shared" si="24"/>
        <v>3.11261844834409E-2</v>
      </c>
      <c r="E136" s="2">
        <f t="shared" si="25"/>
        <v>2.5448048261001648E-2</v>
      </c>
      <c r="F136">
        <f t="shared" si="26"/>
        <v>6.4760316029426903E-4</v>
      </c>
      <c r="G136" s="2">
        <f t="shared" si="27"/>
        <v>7.9574039159737986E-2</v>
      </c>
      <c r="H136">
        <f t="shared" si="28"/>
        <v>6.3320277081955149E-3</v>
      </c>
      <c r="I136">
        <f t="shared" si="29"/>
        <v>1.2797954955116194E-3</v>
      </c>
      <c r="Q136" s="9"/>
      <c r="R136">
        <v>4.25004857619143E-2</v>
      </c>
    </row>
    <row r="137" spans="1:18" ht="16" thickBot="1" x14ac:dyDescent="0.25">
      <c r="A137" s="5">
        <v>44681</v>
      </c>
      <c r="B137" s="4">
        <v>-8.7958206365867153E-2</v>
      </c>
      <c r="C137" s="4">
        <v>-8.4286689316552033E-2</v>
      </c>
      <c r="D137" s="3">
        <f t="shared" si="24"/>
        <v>-6.6743831798411132E-2</v>
      </c>
      <c r="E137" s="2">
        <f t="shared" si="25"/>
        <v>-9.8284387593585723E-2</v>
      </c>
      <c r="F137">
        <f t="shared" si="26"/>
        <v>9.6598208446461876E-3</v>
      </c>
      <c r="G137" s="2">
        <f t="shared" si="27"/>
        <v>-1.75428575181409E-2</v>
      </c>
      <c r="H137">
        <f t="shared" si="28"/>
        <v>3.077518499017927E-4</v>
      </c>
      <c r="I137">
        <f t="shared" si="29"/>
        <v>7.7366460671004725E-3</v>
      </c>
      <c r="Q137" s="9"/>
      <c r="R137">
        <v>8.4166123122454001E-3</v>
      </c>
    </row>
    <row r="138" spans="1:18" ht="16" thickBot="1" x14ac:dyDescent="0.25">
      <c r="A138" s="5">
        <v>44712</v>
      </c>
      <c r="B138" s="4">
        <v>5.3575877765332791E-5</v>
      </c>
      <c r="C138" s="4">
        <v>-2.1245406119667964E-2</v>
      </c>
      <c r="D138" s="3">
        <f t="shared" si="24"/>
        <v>2.8718231564636132E-3</v>
      </c>
      <c r="E138" s="2">
        <f t="shared" si="25"/>
        <v>-1.0272605349953241E-2</v>
      </c>
      <c r="F138">
        <f t="shared" si="26"/>
        <v>1.0552642067588794E-4</v>
      </c>
      <c r="G138" s="2">
        <f t="shared" si="27"/>
        <v>-2.4117229276131576E-2</v>
      </c>
      <c r="H138">
        <f t="shared" si="28"/>
        <v>5.8164074795749804E-4</v>
      </c>
      <c r="I138">
        <f t="shared" si="29"/>
        <v>2.8703746783258804E-9</v>
      </c>
      <c r="Q138" s="9"/>
      <c r="R138">
        <v>-4.7094607037771019E-2</v>
      </c>
    </row>
    <row r="139" spans="1:18" ht="16" thickBot="1" x14ac:dyDescent="0.25">
      <c r="A139" s="5">
        <v>44742</v>
      </c>
      <c r="B139" s="4">
        <v>-8.3918328754959526E-2</v>
      </c>
      <c r="C139" s="4">
        <v>-0.13732728615124989</v>
      </c>
      <c r="D139" s="3">
        <f t="shared" si="24"/>
        <v>-6.3548365025083556E-2</v>
      </c>
      <c r="E139" s="2">
        <f t="shared" si="25"/>
        <v>-9.4244509982678096E-2</v>
      </c>
      <c r="F139">
        <f t="shared" si="26"/>
        <v>8.8820276618751109E-3</v>
      </c>
      <c r="G139" s="2">
        <f t="shared" si="27"/>
        <v>-7.3778921126166339E-2</v>
      </c>
      <c r="H139">
        <f t="shared" si="28"/>
        <v>5.4433292025410735E-3</v>
      </c>
      <c r="I139">
        <f t="shared" si="29"/>
        <v>7.0422859010254666E-3</v>
      </c>
      <c r="Q139" s="9"/>
      <c r="R139">
        <v>-5.620022754499103E-2</v>
      </c>
    </row>
    <row r="140" spans="1:18" ht="16" thickBot="1" x14ac:dyDescent="0.25">
      <c r="A140" s="5">
        <v>44773</v>
      </c>
      <c r="B140" s="4">
        <v>9.1113834372415381E-2</v>
      </c>
      <c r="C140" s="4">
        <v>0.10453600684680286</v>
      </c>
      <c r="D140" s="3">
        <f t="shared" si="24"/>
        <v>7.4898765161991426E-2</v>
      </c>
      <c r="E140" s="2">
        <f t="shared" si="25"/>
        <v>8.0787653144696811E-2</v>
      </c>
      <c r="F140">
        <f t="shared" si="26"/>
        <v>6.5266449006278404E-3</v>
      </c>
      <c r="G140" s="2">
        <f t="shared" si="27"/>
        <v>2.9637241684811438E-2</v>
      </c>
      <c r="H140">
        <f t="shared" si="28"/>
        <v>8.7836609468392476E-4</v>
      </c>
      <c r="I140">
        <f t="shared" si="29"/>
        <v>8.3017308140439419E-3</v>
      </c>
      <c r="Q140" s="9"/>
      <c r="R140">
        <v>-2.0266204972255727E-2</v>
      </c>
    </row>
    <row r="141" spans="1:18" ht="16" thickBot="1" x14ac:dyDescent="0.25">
      <c r="A141" s="5">
        <v>44804</v>
      </c>
      <c r="B141" s="4">
        <v>-4.243938128990743E-2</v>
      </c>
      <c r="C141" s="4">
        <v>-6.7283595306619426E-2</v>
      </c>
      <c r="D141" s="3">
        <f t="shared" si="24"/>
        <v>-3.0739302181371459E-2</v>
      </c>
      <c r="E141" s="2">
        <f t="shared" si="25"/>
        <v>-5.2765562517626E-2</v>
      </c>
      <c r="F141">
        <f t="shared" si="26"/>
        <v>2.7842045878014978E-3</v>
      </c>
      <c r="G141" s="2">
        <f t="shared" si="27"/>
        <v>-3.654429312524797E-2</v>
      </c>
      <c r="H141">
        <f t="shared" si="28"/>
        <v>1.3354853600240461E-3</v>
      </c>
      <c r="I141">
        <f t="shared" si="29"/>
        <v>1.8011010842701447E-3</v>
      </c>
      <c r="Q141" s="9"/>
      <c r="R141">
        <v>4.5303226386758016E-2</v>
      </c>
    </row>
    <row r="142" spans="1:18" ht="16" thickBot="1" x14ac:dyDescent="0.25">
      <c r="A142" s="5">
        <v>44834</v>
      </c>
      <c r="B142" s="4">
        <v>-9.3394435089137362E-2</v>
      </c>
      <c r="C142" s="4">
        <v>-3.5218889743370618E-2</v>
      </c>
      <c r="D142" s="3">
        <f t="shared" si="24"/>
        <v>-7.1043785888732239E-2</v>
      </c>
      <c r="E142" s="2">
        <f t="shared" si="25"/>
        <v>-0.10372061631685593</v>
      </c>
      <c r="F142">
        <f t="shared" si="26"/>
        <v>1.075796624914844E-2</v>
      </c>
      <c r="G142" s="2">
        <f t="shared" si="27"/>
        <v>3.582489614536162E-2</v>
      </c>
      <c r="H142">
        <f t="shared" si="28"/>
        <v>1.2834231838259459E-3</v>
      </c>
      <c r="I142">
        <f t="shared" si="29"/>
        <v>8.7225205056190927E-3</v>
      </c>
      <c r="Q142" s="9"/>
      <c r="R142">
        <v>-3.6995256421018162E-2</v>
      </c>
    </row>
    <row r="143" spans="1:18" ht="16" thickBot="1" x14ac:dyDescent="0.25">
      <c r="A143" s="5">
        <v>44865</v>
      </c>
      <c r="B143" s="4">
        <v>7.9861443809644106E-2</v>
      </c>
      <c r="C143" s="4">
        <v>9.4914753856373268E-2</v>
      </c>
      <c r="D143" s="3">
        <f t="shared" si="24"/>
        <v>6.5998337073091468E-2</v>
      </c>
      <c r="E143" s="2">
        <f t="shared" si="25"/>
        <v>6.9535262581925536E-2</v>
      </c>
      <c r="F143">
        <f t="shared" si="26"/>
        <v>4.8351527423373336E-3</v>
      </c>
      <c r="G143" s="2">
        <f t="shared" si="27"/>
        <v>2.8916416783281801E-2</v>
      </c>
      <c r="H143">
        <f t="shared" si="28"/>
        <v>8.3615915958446137E-4</v>
      </c>
      <c r="I143">
        <f t="shared" si="29"/>
        <v>6.3778502073609427E-3</v>
      </c>
      <c r="Q143" s="9"/>
      <c r="R143">
        <v>1.4317809862530347E-2</v>
      </c>
    </row>
    <row r="144" spans="1:18" ht="16" thickBot="1" x14ac:dyDescent="0.25">
      <c r="A144" s="5">
        <v>44895</v>
      </c>
      <c r="B144" s="4">
        <v>5.3752726026202291E-2</v>
      </c>
      <c r="C144" s="4">
        <v>7.9159644983709754E-2</v>
      </c>
      <c r="D144" s="3">
        <f t="shared" si="24"/>
        <v>4.5346835169688224E-2</v>
      </c>
      <c r="E144" s="2">
        <f t="shared" si="25"/>
        <v>4.3426544798483721E-2</v>
      </c>
      <c r="F144">
        <f t="shared" si="26"/>
        <v>1.8858647931347136E-3</v>
      </c>
      <c r="G144" s="2">
        <f t="shared" si="27"/>
        <v>3.381280981402153E-2</v>
      </c>
      <c r="H144">
        <f t="shared" si="28"/>
        <v>1.1433061075191908E-3</v>
      </c>
      <c r="I144">
        <f t="shared" si="29"/>
        <v>2.8893555552479649E-3</v>
      </c>
      <c r="Q144" s="9"/>
      <c r="R144">
        <v>-4.3632467967259753E-2</v>
      </c>
    </row>
    <row r="145" spans="1:18" ht="16" thickBot="1" x14ac:dyDescent="0.25">
      <c r="A145" s="5">
        <v>44926</v>
      </c>
      <c r="B145" s="4">
        <v>-5.897149067685914E-2</v>
      </c>
      <c r="C145" s="4">
        <v>-2.4088115266094778E-2</v>
      </c>
      <c r="D145" s="3">
        <f t="shared" si="24"/>
        <v>-4.3815887990898583E-2</v>
      </c>
      <c r="E145" s="2">
        <f t="shared" si="25"/>
        <v>-6.929767190457771E-2</v>
      </c>
      <c r="F145">
        <f t="shared" si="26"/>
        <v>4.8021673313944991E-3</v>
      </c>
      <c r="G145" s="2">
        <f t="shared" si="27"/>
        <v>1.9727772724803805E-2</v>
      </c>
      <c r="H145">
        <f t="shared" si="28"/>
        <v>3.8918501668151295E-4</v>
      </c>
      <c r="I145">
        <f t="shared" si="29"/>
        <v>3.4776367126508846E-3</v>
      </c>
      <c r="Q145" s="9"/>
      <c r="R145">
        <v>-6.6228032144481069E-3</v>
      </c>
    </row>
    <row r="146" spans="1:18" ht="16" thickBot="1" x14ac:dyDescent="0.25">
      <c r="A146" s="5">
        <v>44957</v>
      </c>
      <c r="B146" s="4">
        <v>6.1754771067835224E-2</v>
      </c>
      <c r="C146" s="4">
        <v>9.150500769173453E-3</v>
      </c>
      <c r="D146" s="3">
        <f t="shared" si="24"/>
        <v>5.167630143375751E-2</v>
      </c>
      <c r="E146" s="2">
        <f t="shared" si="25"/>
        <v>5.1428589840116654E-2</v>
      </c>
      <c r="F146">
        <f t="shared" si="26"/>
        <v>2.6448998529429498E-3</v>
      </c>
      <c r="G146" s="2">
        <f t="shared" si="27"/>
        <v>-4.2525800664584057E-2</v>
      </c>
      <c r="H146">
        <f t="shared" si="28"/>
        <v>1.8084437221639379E-3</v>
      </c>
      <c r="I146">
        <f t="shared" si="29"/>
        <v>3.8136517496407383E-3</v>
      </c>
      <c r="Q146" s="9"/>
      <c r="R146">
        <v>1.2464452320122235E-2</v>
      </c>
    </row>
    <row r="147" spans="1:18" ht="16" thickBot="1" x14ac:dyDescent="0.25">
      <c r="A147" s="5">
        <v>44985</v>
      </c>
      <c r="B147" s="4">
        <v>-2.6112514640123874E-2</v>
      </c>
      <c r="C147" s="4">
        <v>-2.0031505292073093E-2</v>
      </c>
      <c r="D147" s="3">
        <f t="shared" si="24"/>
        <v>-1.7825059494645096E-2</v>
      </c>
      <c r="E147" s="2">
        <f t="shared" si="25"/>
        <v>-3.6438695867842444E-2</v>
      </c>
      <c r="F147">
        <f t="shared" si="26"/>
        <v>1.3277785565491179E-3</v>
      </c>
      <c r="G147" s="2">
        <f t="shared" si="27"/>
        <v>-2.2064457974279965E-3</v>
      </c>
      <c r="H147">
        <f t="shared" si="28"/>
        <v>4.8684030569876674E-6</v>
      </c>
      <c r="I147">
        <f t="shared" si="29"/>
        <v>6.8186342083068367E-4</v>
      </c>
      <c r="Q147" s="9"/>
      <c r="R147">
        <v>3.7986285578779574E-3</v>
      </c>
    </row>
    <row r="148" spans="1:18" ht="16" thickBot="1" x14ac:dyDescent="0.25">
      <c r="A148" s="5">
        <v>45016</v>
      </c>
      <c r="B148" s="4">
        <v>3.5051290624090514E-2</v>
      </c>
      <c r="C148" s="4">
        <v>4.4765654495442231E-3</v>
      </c>
      <c r="D148" s="3">
        <f t="shared" si="24"/>
        <v>3.0554353516375445E-2</v>
      </c>
      <c r="E148" s="2">
        <f t="shared" si="25"/>
        <v>2.4725109396371941E-2</v>
      </c>
      <c r="F148">
        <f t="shared" si="26"/>
        <v>6.1133103466256005E-4</v>
      </c>
      <c r="G148" s="2">
        <f t="shared" si="27"/>
        <v>-2.6077788066831222E-2</v>
      </c>
      <c r="H148">
        <f t="shared" si="28"/>
        <v>6.8005103045856491E-4</v>
      </c>
      <c r="I148">
        <f t="shared" si="29"/>
        <v>1.2285929744144555E-3</v>
      </c>
      <c r="Q148" s="9"/>
      <c r="R148">
        <v>6.4739802052624293E-3</v>
      </c>
    </row>
    <row r="149" spans="1:18" ht="16" thickBot="1" x14ac:dyDescent="0.25">
      <c r="A149" s="5">
        <v>45046</v>
      </c>
      <c r="B149" s="4">
        <v>1.4642098118692548E-2</v>
      </c>
      <c r="C149" s="4">
        <v>8.00686855670103E-2</v>
      </c>
      <c r="D149" s="3">
        <f t="shared" si="24"/>
        <v>1.4411068297694478E-2</v>
      </c>
      <c r="E149" s="2">
        <f t="shared" si="25"/>
        <v>4.3159168909739747E-3</v>
      </c>
      <c r="F149">
        <f t="shared" si="26"/>
        <v>1.8627138609794459E-5</v>
      </c>
      <c r="G149" s="2">
        <f t="shared" si="27"/>
        <v>6.5657617269315821E-2</v>
      </c>
      <c r="H149">
        <f t="shared" si="28"/>
        <v>4.3109227054839595E-3</v>
      </c>
      <c r="I149">
        <f t="shared" si="29"/>
        <v>2.1439103731741985E-4</v>
      </c>
      <c r="Q149" s="9"/>
      <c r="R149">
        <v>2.0752174107920643E-3</v>
      </c>
    </row>
    <row r="150" spans="1:18" ht="16" thickBot="1" x14ac:dyDescent="0.25">
      <c r="A150" s="5">
        <v>45077</v>
      </c>
      <c r="B150" s="4">
        <v>2.4808987107580727E-3</v>
      </c>
      <c r="C150" s="4">
        <v>-2.9541840182223944E-2</v>
      </c>
      <c r="D150" s="3">
        <f t="shared" si="24"/>
        <v>4.7917896029780749E-3</v>
      </c>
      <c r="E150" s="2">
        <f t="shared" si="25"/>
        <v>-7.8452825169605007E-3</v>
      </c>
      <c r="F150">
        <f t="shared" si="26"/>
        <v>6.1548457770926093E-5</v>
      </c>
      <c r="G150" s="2">
        <f t="shared" si="27"/>
        <v>-3.4333629785202019E-2</v>
      </c>
      <c r="H150">
        <f t="shared" si="28"/>
        <v>1.1787981342273113E-3</v>
      </c>
      <c r="I150">
        <f t="shared" si="29"/>
        <v>6.1548584130410675E-6</v>
      </c>
      <c r="Q150" s="9"/>
      <c r="R150">
        <v>-1.2123599986181455E-2</v>
      </c>
    </row>
    <row r="151" spans="1:18" ht="16" thickBot="1" x14ac:dyDescent="0.25">
      <c r="A151" s="5">
        <v>45107</v>
      </c>
      <c r="B151" s="4">
        <v>6.4728982734588048E-2</v>
      </c>
      <c r="C151" s="4">
        <v>6.1033927062354554E-2</v>
      </c>
      <c r="D151" s="3">
        <f t="shared" si="24"/>
        <v>5.4028846603019862E-2</v>
      </c>
      <c r="E151" s="2">
        <f t="shared" si="25"/>
        <v>5.4402801506869478E-2</v>
      </c>
      <c r="F151">
        <f t="shared" si="26"/>
        <v>2.9596648117958401E-3</v>
      </c>
      <c r="G151" s="2">
        <f t="shared" si="27"/>
        <v>7.0050804593346921E-3</v>
      </c>
      <c r="H151">
        <f t="shared" si="28"/>
        <v>4.9071152241752738E-5</v>
      </c>
      <c r="I151">
        <f t="shared" si="29"/>
        <v>4.1898412058545978E-3</v>
      </c>
      <c r="Q151" s="9"/>
      <c r="R151">
        <v>-1.636189078406397E-2</v>
      </c>
    </row>
    <row r="152" spans="1:18" ht="16" thickBot="1" x14ac:dyDescent="0.25">
      <c r="A152" s="5">
        <v>45138</v>
      </c>
      <c r="B152" s="4">
        <v>3.1138865858735043E-2</v>
      </c>
      <c r="C152" s="4">
        <v>3.3969988992101241E-2</v>
      </c>
      <c r="D152" s="3">
        <f t="shared" si="24"/>
        <v>2.7459699533026547E-2</v>
      </c>
      <c r="E152" s="2">
        <f t="shared" si="25"/>
        <v>2.081268463101647E-2</v>
      </c>
      <c r="F152">
        <f t="shared" si="26"/>
        <v>4.3316784155014916E-4</v>
      </c>
      <c r="G152" s="2">
        <f t="shared" si="27"/>
        <v>6.5102894590746939E-3</v>
      </c>
      <c r="H152">
        <f t="shared" si="28"/>
        <v>4.2383868840939072E-5</v>
      </c>
      <c r="I152">
        <f t="shared" si="29"/>
        <v>9.6962896696829487E-4</v>
      </c>
      <c r="Q152" s="9"/>
      <c r="R152">
        <v>-2.3876263883105403E-2</v>
      </c>
    </row>
    <row r="153" spans="1:18" ht="16" thickBot="1" x14ac:dyDescent="0.25">
      <c r="A153" s="5">
        <v>45169</v>
      </c>
      <c r="B153" s="4">
        <v>-1.7716285687521816E-2</v>
      </c>
      <c r="C153" s="4">
        <v>2.1152428091146813E-2</v>
      </c>
      <c r="D153" s="3">
        <f t="shared" si="24"/>
        <v>-1.118380121324309E-2</v>
      </c>
      <c r="E153" s="2">
        <f t="shared" si="25"/>
        <v>-2.8042466915240389E-2</v>
      </c>
      <c r="F153">
        <f t="shared" si="26"/>
        <v>7.863799506923518E-4</v>
      </c>
      <c r="G153" s="2">
        <f t="shared" si="27"/>
        <v>3.2336229304389903E-2</v>
      </c>
      <c r="H153">
        <f t="shared" si="28"/>
        <v>1.0456317256260844E-3</v>
      </c>
      <c r="I153">
        <f t="shared" si="29"/>
        <v>3.1386677856189035E-4</v>
      </c>
      <c r="Q153" s="9"/>
      <c r="R153">
        <v>-6.7498865524092816E-2</v>
      </c>
    </row>
    <row r="154" spans="1:18" ht="16" thickBot="1" x14ac:dyDescent="0.25">
      <c r="A154" s="5">
        <v>45199</v>
      </c>
      <c r="B154" s="4">
        <v>-4.8718754745776027E-2</v>
      </c>
      <c r="C154" s="4">
        <v>-2.7889724671640748E-2</v>
      </c>
      <c r="D154" s="3">
        <f t="shared" si="24"/>
        <v>-3.5706167806549435E-2</v>
      </c>
      <c r="E154" s="2">
        <f t="shared" si="25"/>
        <v>-5.9044935973494597E-2</v>
      </c>
      <c r="F154">
        <f t="shared" si="26"/>
        <v>3.4863044641140766E-3</v>
      </c>
      <c r="G154" s="2">
        <f t="shared" si="27"/>
        <v>7.8164431349086877E-3</v>
      </c>
      <c r="H154">
        <f t="shared" si="28"/>
        <v>6.1096783281261154E-5</v>
      </c>
      <c r="I154">
        <f t="shared" si="29"/>
        <v>2.3735170639790741E-3</v>
      </c>
      <c r="Q154" s="9"/>
      <c r="R154">
        <v>-4.9507628136900149E-2</v>
      </c>
    </row>
    <row r="155" spans="1:18" ht="16" thickBot="1" x14ac:dyDescent="0.25">
      <c r="A155" s="5">
        <v>45230</v>
      </c>
      <c r="B155" s="4">
        <v>-2.1980405260002001E-2</v>
      </c>
      <c r="C155" s="4">
        <v>-2.5686906488897931E-2</v>
      </c>
      <c r="D155" s="3">
        <f t="shared" si="24"/>
        <v>-1.4556639136492681E-2</v>
      </c>
      <c r="E155" s="2">
        <f t="shared" si="25"/>
        <v>-3.2306586487720571E-2</v>
      </c>
      <c r="F155">
        <f t="shared" si="26"/>
        <v>1.0437155304885693E-3</v>
      </c>
      <c r="G155" s="2">
        <f t="shared" si="27"/>
        <v>-1.113026735240525E-2</v>
      </c>
      <c r="H155">
        <f t="shared" si="28"/>
        <v>1.2388285133601817E-4</v>
      </c>
      <c r="I155">
        <f t="shared" si="29"/>
        <v>4.831382153939236E-4</v>
      </c>
      <c r="Q155" s="9"/>
      <c r="R155">
        <v>-5.807201557659597E-2</v>
      </c>
    </row>
    <row r="156" spans="1:18" ht="16" thickBot="1" x14ac:dyDescent="0.25">
      <c r="A156" s="5">
        <v>45260</v>
      </c>
      <c r="B156" s="4">
        <v>8.9178692794205094E-2</v>
      </c>
      <c r="C156" s="4">
        <v>5.4217158306377744E-2</v>
      </c>
      <c r="D156" s="3">
        <f t="shared" si="24"/>
        <v>7.3368104778082824E-2</v>
      </c>
      <c r="E156" s="2">
        <f t="shared" si="25"/>
        <v>7.8852511566486524E-2</v>
      </c>
      <c r="F156">
        <f t="shared" si="26"/>
        <v>6.2177185803428915E-3</v>
      </c>
      <c r="G156" s="2">
        <f t="shared" si="27"/>
        <v>-1.915094647170508E-2</v>
      </c>
      <c r="H156">
        <f t="shared" si="28"/>
        <v>3.6675875076211325E-4</v>
      </c>
      <c r="I156">
        <f t="shared" si="29"/>
        <v>7.9528392484832077E-3</v>
      </c>
      <c r="Q156" s="9"/>
      <c r="R156">
        <v>5.2091209467328259E-2</v>
      </c>
    </row>
    <row r="157" spans="1:18" ht="16" thickBot="1" x14ac:dyDescent="0.25">
      <c r="A157" s="5">
        <v>45291</v>
      </c>
      <c r="B157" s="4">
        <v>4.4229350796097355E-2</v>
      </c>
      <c r="C157" s="4">
        <v>-5.999212309946822E-3</v>
      </c>
      <c r="D157" s="3">
        <f t="shared" si="24"/>
        <v>3.7814025503482979E-2</v>
      </c>
      <c r="E157" s="2">
        <f t="shared" si="25"/>
        <v>3.3903169568378785E-2</v>
      </c>
      <c r="F157">
        <f t="shared" si="26"/>
        <v>1.1494249067822454E-3</v>
      </c>
      <c r="G157" s="2">
        <f t="shared" si="27"/>
        <v>-4.3813237813429801E-2</v>
      </c>
      <c r="H157">
        <f t="shared" si="28"/>
        <v>1.9195998076961549E-3</v>
      </c>
      <c r="I157">
        <f t="shared" si="29"/>
        <v>1.9562354718442379E-3</v>
      </c>
      <c r="Q157" s="9"/>
      <c r="R157">
        <v>5.7302121244399172E-2</v>
      </c>
    </row>
    <row r="158" spans="1:18" ht="16" thickBot="1" x14ac:dyDescent="0.25">
      <c r="A158" s="5">
        <v>45322</v>
      </c>
      <c r="B158" s="4">
        <v>1.5895278093018383E-2</v>
      </c>
      <c r="C158" s="4">
        <v>6.5229132537435675E-2</v>
      </c>
      <c r="D158" s="3">
        <f t="shared" si="24"/>
        <v>1.540230995267571E-2</v>
      </c>
      <c r="E158" s="2">
        <f t="shared" si="25"/>
        <v>5.56909686529981E-3</v>
      </c>
      <c r="F158">
        <f t="shared" si="26"/>
        <v>3.1014839895092174E-5</v>
      </c>
      <c r="G158" s="2">
        <f t="shared" si="27"/>
        <v>4.9826822584759962E-2</v>
      </c>
      <c r="H158">
        <f t="shared" si="28"/>
        <v>2.4827122488931454E-3</v>
      </c>
      <c r="I158">
        <f t="shared" si="29"/>
        <v>2.5265986565439015E-4</v>
      </c>
      <c r="Q158" s="9"/>
      <c r="R158">
        <v>5.1223432813839592E-3</v>
      </c>
    </row>
    <row r="159" spans="1:18" ht="16" thickBot="1" x14ac:dyDescent="0.25">
      <c r="A159" s="5">
        <v>45351</v>
      </c>
      <c r="B159" s="4">
        <v>5.1721125175185456E-2</v>
      </c>
      <c r="C159" s="4">
        <v>6.6677642065631648E-2</v>
      </c>
      <c r="D159" s="3">
        <f t="shared" si="24"/>
        <v>4.3739877325579227E-2</v>
      </c>
      <c r="E159" s="2">
        <f t="shared" si="25"/>
        <v>4.1394943947466886E-2</v>
      </c>
      <c r="F159">
        <f t="shared" si="26"/>
        <v>1.7135413844139255E-3</v>
      </c>
      <c r="G159" s="2">
        <f t="shared" si="27"/>
        <v>2.2937764740052421E-2</v>
      </c>
      <c r="H159">
        <f t="shared" si="28"/>
        <v>5.2614105126999209E-4</v>
      </c>
      <c r="I159">
        <f t="shared" si="29"/>
        <v>2.6750747893872027E-3</v>
      </c>
      <c r="Q159" s="9"/>
      <c r="R159">
        <v>-3.5636780626476863E-2</v>
      </c>
    </row>
    <row r="160" spans="1:18" ht="16" thickBot="1" x14ac:dyDescent="0.25">
      <c r="A160" s="5">
        <v>45382</v>
      </c>
      <c r="B160" s="4">
        <v>3.101972951085985E-2</v>
      </c>
      <c r="C160" s="4">
        <v>2.8997941809488337E-2</v>
      </c>
      <c r="D160" s="3">
        <f t="shared" si="24"/>
        <v>2.7365464935398414E-2</v>
      </c>
      <c r="E160" s="2">
        <f t="shared" si="25"/>
        <v>2.0693548283141277E-2</v>
      </c>
      <c r="F160">
        <f t="shared" si="26"/>
        <v>4.282229405466993E-4</v>
      </c>
      <c r="G160" s="2">
        <f t="shared" si="27"/>
        <v>1.6324768740899227E-3</v>
      </c>
      <c r="H160">
        <f t="shared" si="28"/>
        <v>2.6649807444384055E-6</v>
      </c>
      <c r="I160">
        <f t="shared" si="29"/>
        <v>9.6222361892690951E-4</v>
      </c>
      <c r="Q160" s="9"/>
      <c r="R160">
        <v>4.826153850835295E-2</v>
      </c>
    </row>
    <row r="161" spans="1:18" ht="16" thickBot="1" x14ac:dyDescent="0.25">
      <c r="A161" s="5">
        <v>45412</v>
      </c>
      <c r="B161" s="4">
        <v>-4.161552611494046E-2</v>
      </c>
      <c r="C161" s="4">
        <v>-5.5072173885631459E-2</v>
      </c>
      <c r="D161" s="3">
        <f t="shared" si="24"/>
        <v>-3.0087648321726567E-2</v>
      </c>
      <c r="E161" s="2">
        <f t="shared" si="25"/>
        <v>-5.194170734265903E-2</v>
      </c>
      <c r="F161">
        <f t="shared" si="26"/>
        <v>2.6979409616704388E-3</v>
      </c>
      <c r="G161" s="2">
        <f t="shared" si="27"/>
        <v>-2.4984525563904892E-2</v>
      </c>
      <c r="H161">
        <f t="shared" si="28"/>
        <v>6.2422651765341706E-4</v>
      </c>
      <c r="I161">
        <f t="shared" si="29"/>
        <v>1.7318520138232913E-3</v>
      </c>
      <c r="Q161" s="9"/>
      <c r="R161">
        <v>-2.0183335890660792E-2</v>
      </c>
    </row>
    <row r="162" spans="1:18" ht="16" thickBot="1" x14ac:dyDescent="0.25">
      <c r="A162" s="5">
        <v>45443</v>
      </c>
      <c r="B162" s="4">
        <v>4.802034799716659E-2</v>
      </c>
      <c r="C162" s="4">
        <v>4.653876486173858E-2</v>
      </c>
      <c r="D162" s="3">
        <f t="shared" ref="D162:D182" si="30">B162*$L$8+$L$9</f>
        <v>4.0812632580362454E-2</v>
      </c>
      <c r="E162" s="2">
        <f t="shared" ref="E162:E182" si="31">B162-$L$2</f>
        <v>3.769416676944802E-2</v>
      </c>
      <c r="F162">
        <f t="shared" ref="F162:F193" si="32">E162^2</f>
        <v>1.4208502084429595E-3</v>
      </c>
      <c r="G162" s="2">
        <f t="shared" ref="G162:G182" si="33">C162-D162</f>
        <v>5.7261322813761256E-3</v>
      </c>
      <c r="H162">
        <f t="shared" ref="H162:H193" si="34">G162^2</f>
        <v>3.2788590903817751E-5</v>
      </c>
      <c r="I162">
        <f t="shared" ref="I162:I182" si="35">B162^2</f>
        <v>2.3059538217689813E-3</v>
      </c>
      <c r="Q162" s="9"/>
      <c r="R162">
        <v>-4.7017999319246984E-3</v>
      </c>
    </row>
    <row r="163" spans="1:18" ht="16" thickBot="1" x14ac:dyDescent="0.25">
      <c r="A163" s="5">
        <v>45473</v>
      </c>
      <c r="B163" s="4">
        <v>3.4670776166343176E-2</v>
      </c>
      <c r="C163" s="4">
        <v>-2.4161619381574795E-2</v>
      </c>
      <c r="D163" s="3">
        <f t="shared" si="30"/>
        <v>3.0253373777974608E-2</v>
      </c>
      <c r="E163" s="2">
        <f t="shared" si="31"/>
        <v>2.4344594938624602E-2</v>
      </c>
      <c r="F163">
        <f t="shared" si="32"/>
        <v>5.9265930272570664E-4</v>
      </c>
      <c r="G163" s="2">
        <f t="shared" si="33"/>
        <v>-5.4414993159549403E-2</v>
      </c>
      <c r="H163">
        <f t="shared" si="34"/>
        <v>2.9609914805538082E-3</v>
      </c>
      <c r="I163">
        <f t="shared" si="35"/>
        <v>1.2020627199766699E-3</v>
      </c>
      <c r="Q163" s="9"/>
      <c r="R163">
        <v>3.6050943425955821E-2</v>
      </c>
    </row>
    <row r="164" spans="1:18" ht="16" thickBot="1" x14ac:dyDescent="0.25">
      <c r="A164" s="5">
        <v>45504</v>
      </c>
      <c r="B164" s="4">
        <v>1.1321199980694585E-2</v>
      </c>
      <c r="C164" s="4">
        <v>7.6717877437152859E-2</v>
      </c>
      <c r="D164" s="3">
        <f t="shared" si="30"/>
        <v>1.1784300687476266E-2</v>
      </c>
      <c r="E164" s="2">
        <f t="shared" si="31"/>
        <v>9.9501875297601169E-4</v>
      </c>
      <c r="F164">
        <f t="shared" si="32"/>
        <v>9.9006231877393734E-7</v>
      </c>
      <c r="G164" s="2">
        <f t="shared" si="33"/>
        <v>6.4933576749676591E-2</v>
      </c>
      <c r="H164">
        <f t="shared" si="34"/>
        <v>4.2163693895061402E-3</v>
      </c>
      <c r="I164">
        <f t="shared" si="35"/>
        <v>1.2816956900287907E-4</v>
      </c>
      <c r="Q164" s="9"/>
      <c r="R164">
        <v>2.1537014328422463E-2</v>
      </c>
    </row>
    <row r="165" spans="1:18" ht="16" thickBot="1" x14ac:dyDescent="0.25">
      <c r="A165" s="5">
        <v>45535</v>
      </c>
      <c r="B165" s="4">
        <v>2.2833847758855885E-2</v>
      </c>
      <c r="C165" s="4">
        <v>8.5085176771140247E-2</v>
      </c>
      <c r="D165" s="3">
        <f t="shared" si="30"/>
        <v>2.0890587310816028E-2</v>
      </c>
      <c r="E165" s="2">
        <f t="shared" si="31"/>
        <v>1.2507666531137312E-2</v>
      </c>
      <c r="F165">
        <f t="shared" si="32"/>
        <v>1.5644172205413247E-4</v>
      </c>
      <c r="G165" s="2">
        <f t="shared" si="33"/>
        <v>6.419458946032422E-2</v>
      </c>
      <c r="H165">
        <f t="shared" si="34"/>
        <v>4.1209453159795698E-3</v>
      </c>
      <c r="I165">
        <f t="shared" si="35"/>
        <v>5.2138460347460791E-4</v>
      </c>
      <c r="Q165" s="9"/>
      <c r="R165">
        <v>2.5181121173570249E-2</v>
      </c>
    </row>
    <row r="166" spans="1:18" ht="16" thickBot="1" x14ac:dyDescent="0.25">
      <c r="A166" s="5">
        <v>45565</v>
      </c>
      <c r="B166" s="4">
        <v>2.0198233636761209E-2</v>
      </c>
      <c r="C166" s="4">
        <v>-3.3719982345866484E-2</v>
      </c>
      <c r="D166" s="3">
        <f t="shared" si="30"/>
        <v>1.880586639458651E-2</v>
      </c>
      <c r="E166" s="2">
        <f t="shared" si="31"/>
        <v>9.8720524090426358E-3</v>
      </c>
      <c r="F166">
        <f t="shared" si="32"/>
        <v>9.7457418766884503E-5</v>
      </c>
      <c r="G166" s="2">
        <f t="shared" si="33"/>
        <v>-5.2525848740452991E-2</v>
      </c>
      <c r="H166">
        <f t="shared" si="34"/>
        <v>2.7589647859049471E-3</v>
      </c>
      <c r="I166">
        <f t="shared" si="35"/>
        <v>4.0796864204519195E-4</v>
      </c>
      <c r="Q166" s="9"/>
      <c r="R166">
        <v>4.9801335274904657E-2</v>
      </c>
    </row>
    <row r="167" spans="1:18" ht="16" thickBot="1" x14ac:dyDescent="0.25">
      <c r="A167" s="5">
        <v>45596</v>
      </c>
      <c r="B167" s="4">
        <v>-9.8979804465961774E-3</v>
      </c>
      <c r="C167" s="4">
        <v>-2.0574235365606652E-2</v>
      </c>
      <c r="D167" s="3">
        <f t="shared" si="30"/>
        <v>-4.9996696559759888E-3</v>
      </c>
      <c r="E167" s="2">
        <f t="shared" si="31"/>
        <v>-2.0224161674314751E-2</v>
      </c>
      <c r="F167">
        <f t="shared" si="32"/>
        <v>4.090167154288216E-4</v>
      </c>
      <c r="G167" s="2">
        <f t="shared" si="33"/>
        <v>-1.5574565709630664E-2</v>
      </c>
      <c r="H167">
        <f t="shared" si="34"/>
        <v>2.4256709704360331E-4</v>
      </c>
      <c r="I167">
        <f t="shared" si="35"/>
        <v>9.7970016921200266E-5</v>
      </c>
      <c r="Q167" s="9"/>
      <c r="R167">
        <v>-6.0305483376792743E-2</v>
      </c>
    </row>
    <row r="168" spans="1:18" ht="16" thickBot="1" x14ac:dyDescent="0.25">
      <c r="A168" s="5">
        <v>45626</v>
      </c>
      <c r="B168" s="4">
        <v>5.7302510889593705E-2</v>
      </c>
      <c r="C168" s="4">
        <v>6.9546996533766059E-2</v>
      </c>
      <c r="D168" s="3">
        <f t="shared" si="30"/>
        <v>4.8154647850152069E-2</v>
      </c>
      <c r="E168" s="2">
        <f t="shared" si="31"/>
        <v>4.6976329661875135E-2</v>
      </c>
      <c r="F168">
        <f t="shared" si="32"/>
        <v>2.2067755485011696E-3</v>
      </c>
      <c r="G168" s="2">
        <f t="shared" si="33"/>
        <v>2.139234868361399E-2</v>
      </c>
      <c r="H168">
        <f t="shared" si="34"/>
        <v>4.5763258220132125E-4</v>
      </c>
      <c r="I168">
        <f t="shared" si="35"/>
        <v>3.2835777542520052E-3</v>
      </c>
      <c r="Q168" s="9"/>
      <c r="R168">
        <v>-2.0109850982549797E-2</v>
      </c>
    </row>
    <row r="169" spans="1:18" ht="16" thickBot="1" x14ac:dyDescent="0.25">
      <c r="A169" s="5">
        <v>45657</v>
      </c>
      <c r="B169" s="4">
        <v>-2.4991239575695712E-2</v>
      </c>
      <c r="C169" s="4">
        <v>-5.9554720733661082E-2</v>
      </c>
      <c r="D169" s="3">
        <f t="shared" si="30"/>
        <v>-1.693815212832616E-2</v>
      </c>
      <c r="E169" s="2">
        <f t="shared" si="31"/>
        <v>-3.5317420803414282E-2</v>
      </c>
      <c r="F169">
        <f t="shared" si="32"/>
        <v>1.24732021220544E-3</v>
      </c>
      <c r="G169" s="2">
        <f t="shared" si="33"/>
        <v>-4.2616568605334922E-2</v>
      </c>
      <c r="H169">
        <f t="shared" si="34"/>
        <v>1.8161719196932182E-3</v>
      </c>
      <c r="I169">
        <f t="shared" si="35"/>
        <v>6.2456205552981962E-4</v>
      </c>
      <c r="Q169" s="9"/>
      <c r="R169">
        <v>4.9972299833830197E-4</v>
      </c>
    </row>
    <row r="170" spans="1:18" ht="16" thickBot="1" x14ac:dyDescent="0.25">
      <c r="A170" s="5">
        <v>45688</v>
      </c>
      <c r="B170" s="4">
        <v>2.7016039635902267E-2</v>
      </c>
      <c r="C170" s="4">
        <v>3.1859102390882965E-2</v>
      </c>
      <c r="D170" s="3">
        <f t="shared" si="30"/>
        <v>2.4198621976692876E-2</v>
      </c>
      <c r="E170" s="2">
        <f t="shared" si="31"/>
        <v>1.6689858408183694E-2</v>
      </c>
      <c r="F170">
        <f t="shared" si="32"/>
        <v>2.7855137368521996E-4</v>
      </c>
      <c r="G170" s="2">
        <f t="shared" si="33"/>
        <v>7.6604804141900892E-3</v>
      </c>
      <c r="H170">
        <f t="shared" si="34"/>
        <v>5.8682960176189959E-5</v>
      </c>
      <c r="I170">
        <f t="shared" si="35"/>
        <v>7.2986639760864232E-4</v>
      </c>
      <c r="Q170" s="9"/>
      <c r="R170">
        <v>-8.2850523989423108E-3</v>
      </c>
    </row>
    <row r="171" spans="1:18" ht="16" thickBot="1" x14ac:dyDescent="0.25">
      <c r="A171" s="5">
        <v>45716</v>
      </c>
      <c r="B171" s="4">
        <v>-1.4240665110677675E-2</v>
      </c>
      <c r="C171" s="4">
        <v>0.10302462164475923</v>
      </c>
      <c r="D171" s="3">
        <f t="shared" si="30"/>
        <v>-8.4346510805726471E-3</v>
      </c>
      <c r="E171" s="2">
        <f t="shared" si="31"/>
        <v>-2.4566846338396248E-2</v>
      </c>
      <c r="F171">
        <f t="shared" si="32"/>
        <v>6.035299390143732E-4</v>
      </c>
      <c r="G171" s="2">
        <f t="shared" si="33"/>
        <v>0.11145927272533188</v>
      </c>
      <c r="H171">
        <f t="shared" si="34"/>
        <v>1.2423169476459911E-2</v>
      </c>
      <c r="I171">
        <f t="shared" si="35"/>
        <v>2.0279654279447239E-4</v>
      </c>
      <c r="Q171" s="9"/>
      <c r="R171">
        <v>-5.2013947613413283E-3</v>
      </c>
    </row>
    <row r="172" spans="1:18" ht="16" thickBot="1" x14ac:dyDescent="0.25">
      <c r="A172" s="5">
        <v>45747</v>
      </c>
      <c r="B172" s="4">
        <v>-5.7545040285423843E-2</v>
      </c>
      <c r="C172" s="4">
        <v>3.0247239099964407E-2</v>
      </c>
      <c r="D172" s="3">
        <f t="shared" si="30"/>
        <v>-4.2687592713505876E-2</v>
      </c>
      <c r="E172" s="2">
        <f t="shared" si="31"/>
        <v>-6.7871221513142413E-2</v>
      </c>
      <c r="F172">
        <f t="shared" si="32"/>
        <v>4.6065027096860453E-3</v>
      </c>
      <c r="G172" s="2">
        <f t="shared" si="33"/>
        <v>7.2934831813470283E-2</v>
      </c>
      <c r="H172">
        <f t="shared" si="34"/>
        <v>5.3194896916591971E-3</v>
      </c>
      <c r="I172">
        <f t="shared" si="35"/>
        <v>3.3114316614510529E-3</v>
      </c>
      <c r="Q172" s="9"/>
      <c r="R172">
        <v>-3.3258375206413129E-2</v>
      </c>
    </row>
    <row r="173" spans="1:18" ht="16" thickBot="1" x14ac:dyDescent="0.25">
      <c r="A173" s="5">
        <v>45777</v>
      </c>
      <c r="B173" s="4">
        <v>-7.6245644475474439E-3</v>
      </c>
      <c r="C173" s="4">
        <v>2.6281195769359833E-3</v>
      </c>
      <c r="D173" s="3">
        <f t="shared" si="30"/>
        <v>-3.2014406038638355E-3</v>
      </c>
      <c r="E173" s="2">
        <f t="shared" si="31"/>
        <v>-1.7950745675266017E-2</v>
      </c>
      <c r="F173">
        <f t="shared" si="32"/>
        <v>3.222292702980816E-4</v>
      </c>
      <c r="G173" s="2">
        <f t="shared" si="33"/>
        <v>5.8295601807998188E-3</v>
      </c>
      <c r="H173">
        <f t="shared" si="34"/>
        <v>3.3983771901566818E-5</v>
      </c>
      <c r="I173">
        <f t="shared" si="35"/>
        <v>5.8133983014804458E-5</v>
      </c>
      <c r="Q173" s="9"/>
      <c r="R173">
        <v>4.3719033091362637E-2</v>
      </c>
    </row>
    <row r="174" spans="1:18" ht="16" thickBot="1" x14ac:dyDescent="0.25">
      <c r="A174" s="5">
        <v>45808</v>
      </c>
      <c r="B174" s="4">
        <v>6.1522368328896571E-2</v>
      </c>
      <c r="C174" s="4">
        <v>-5.3888625178004856E-2</v>
      </c>
      <c r="D174" s="3">
        <f t="shared" si="30"/>
        <v>5.1492475263305304E-2</v>
      </c>
      <c r="E174" s="2">
        <f t="shared" si="31"/>
        <v>5.1196187101178001E-2</v>
      </c>
      <c r="F174">
        <f t="shared" si="32"/>
        <v>2.6210495736988249E-3</v>
      </c>
      <c r="G174" s="2">
        <f t="shared" si="33"/>
        <v>-0.10538110044131016</v>
      </c>
      <c r="H174">
        <f t="shared" si="34"/>
        <v>1.1105176330221501E-2</v>
      </c>
      <c r="I174">
        <f t="shared" si="35"/>
        <v>3.7850018047964158E-3</v>
      </c>
      <c r="Q174" s="9"/>
      <c r="R174">
        <v>8.1242745150686857E-2</v>
      </c>
    </row>
    <row r="175" spans="1:18" ht="16" thickBot="1" x14ac:dyDescent="0.25">
      <c r="A175" s="5">
        <v>45838</v>
      </c>
      <c r="B175" s="4">
        <v>4.9608046400029027E-2</v>
      </c>
      <c r="C175" s="4">
        <v>-3.7760760496435175E-2</v>
      </c>
      <c r="D175" s="3">
        <f t="shared" si="30"/>
        <v>4.2068471984683498E-2</v>
      </c>
      <c r="E175" s="2">
        <f t="shared" si="31"/>
        <v>3.9281865172310457E-2</v>
      </c>
      <c r="F175">
        <f t="shared" si="32"/>
        <v>1.5430649314155773E-3</v>
      </c>
      <c r="G175" s="2">
        <f t="shared" si="33"/>
        <v>-7.9829232481118673E-2</v>
      </c>
      <c r="H175">
        <f t="shared" si="34"/>
        <v>6.3727063585244928E-3</v>
      </c>
      <c r="I175">
        <f t="shared" si="35"/>
        <v>2.4609582676274329E-3</v>
      </c>
      <c r="Q175" s="9"/>
      <c r="R175">
        <v>3.5598544706639902E-2</v>
      </c>
    </row>
    <row r="176" spans="1:18" ht="16" thickBot="1" x14ac:dyDescent="0.25">
      <c r="A176" s="5">
        <v>45869</v>
      </c>
      <c r="B176" s="4">
        <v>2.16666579329583E-2</v>
      </c>
      <c r="C176" s="4">
        <v>-1.2280461031833112E-2</v>
      </c>
      <c r="D176" s="3">
        <f t="shared" si="30"/>
        <v>1.9967362236682214E-2</v>
      </c>
      <c r="E176" s="2">
        <f t="shared" si="31"/>
        <v>1.1340476705239726E-2</v>
      </c>
      <c r="F176">
        <f t="shared" si="32"/>
        <v>1.2860641190208489E-4</v>
      </c>
      <c r="G176" s="2">
        <f t="shared" si="33"/>
        <v>-3.224782326851533E-2</v>
      </c>
      <c r="H176">
        <f t="shared" si="34"/>
        <v>1.0399221055573987E-3</v>
      </c>
      <c r="I176">
        <f t="shared" si="35"/>
        <v>4.6944406598382481E-4</v>
      </c>
      <c r="Q176" s="9"/>
      <c r="R176">
        <v>7.9574039159737986E-2</v>
      </c>
    </row>
    <row r="177" spans="1:18" ht="16" thickBot="1" x14ac:dyDescent="0.25">
      <c r="A177" s="5">
        <v>45900</v>
      </c>
      <c r="B177" s="4">
        <v>1.9066189771405284E-2</v>
      </c>
      <c r="C177" s="4">
        <v>4.9218587205667852E-2</v>
      </c>
      <c r="D177" s="3">
        <f t="shared" si="30"/>
        <v>1.7910441110432555E-2</v>
      </c>
      <c r="E177" s="2">
        <f t="shared" si="31"/>
        <v>8.7400085436867107E-3</v>
      </c>
      <c r="F177">
        <f t="shared" si="32"/>
        <v>7.6387749343716701E-5</v>
      </c>
      <c r="G177" s="2">
        <f t="shared" si="33"/>
        <v>3.1308146095235301E-2</v>
      </c>
      <c r="H177">
        <f t="shared" si="34"/>
        <v>9.802000119205974E-4</v>
      </c>
      <c r="I177">
        <f t="shared" si="35"/>
        <v>3.635195923992395E-4</v>
      </c>
      <c r="Q177" s="9"/>
      <c r="R177">
        <v>-1.7542857518140914E-2</v>
      </c>
    </row>
    <row r="178" spans="1:18" ht="16" thickBot="1" x14ac:dyDescent="0.25">
      <c r="A178" s="5">
        <v>45930</v>
      </c>
      <c r="B178" s="4">
        <v>3.532307920480493E-2</v>
      </c>
      <c r="C178" s="4">
        <v>-1.4299332697806921E-3</v>
      </c>
      <c r="D178" s="3">
        <f t="shared" si="30"/>
        <v>3.0769333142663592E-2</v>
      </c>
      <c r="E178" s="2">
        <f t="shared" si="31"/>
        <v>2.4996897977086357E-2</v>
      </c>
      <c r="F178">
        <f t="shared" si="32"/>
        <v>6.2484490847686399E-4</v>
      </c>
      <c r="G178" s="2">
        <f t="shared" si="33"/>
        <v>-3.2199266412444284E-2</v>
      </c>
      <c r="H178">
        <f t="shared" si="34"/>
        <v>1.0367927574995626E-3</v>
      </c>
      <c r="I178">
        <f t="shared" si="35"/>
        <v>1.2477199245089225E-3</v>
      </c>
      <c r="Q178" s="9"/>
      <c r="R178">
        <v>-2.411722927613158E-2</v>
      </c>
    </row>
    <row r="179" spans="1:18" ht="16" thickBot="1" x14ac:dyDescent="0.25">
      <c r="A179" s="5">
        <v>45961</v>
      </c>
      <c r="B179" s="4">
        <v>2.2686795816517558E-2</v>
      </c>
      <c r="C179" s="4">
        <v>-5.0994431185361955E-2</v>
      </c>
      <c r="D179" s="3">
        <f t="shared" si="30"/>
        <v>2.0774272006009099E-2</v>
      </c>
      <c r="E179" s="2">
        <f t="shared" si="31"/>
        <v>1.2360614588798984E-2</v>
      </c>
      <c r="F179">
        <f t="shared" si="32"/>
        <v>1.5278479301283028E-4</v>
      </c>
      <c r="G179" s="2">
        <f t="shared" si="33"/>
        <v>-7.1768703191371047E-2</v>
      </c>
      <c r="H179">
        <f t="shared" si="34"/>
        <v>5.1507467577711127E-3</v>
      </c>
      <c r="I179">
        <f t="shared" si="35"/>
        <v>5.1469070442035857E-4</v>
      </c>
      <c r="Q179" s="9"/>
      <c r="R179">
        <v>-7.3778921126166352E-2</v>
      </c>
    </row>
    <row r="180" spans="1:18" ht="16" thickBot="1" x14ac:dyDescent="0.25">
      <c r="A180" s="5">
        <v>45991</v>
      </c>
      <c r="B180" s="4">
        <v>1.2994696931023508E-3</v>
      </c>
      <c r="C180" s="4">
        <v>7.5949367088607556E-2</v>
      </c>
      <c r="D180" s="3">
        <f t="shared" si="30"/>
        <v>3.8573015975071055E-3</v>
      </c>
      <c r="E180" s="2">
        <f t="shared" si="31"/>
        <v>-9.0267115346162226E-3</v>
      </c>
      <c r="F180">
        <f t="shared" si="32"/>
        <v>8.1481521129173561E-5</v>
      </c>
      <c r="G180" s="2">
        <f t="shared" si="33"/>
        <v>7.2092065491100449E-2</v>
      </c>
      <c r="H180">
        <f t="shared" si="34"/>
        <v>5.1972659067731162E-3</v>
      </c>
      <c r="I180">
        <f t="shared" si="35"/>
        <v>1.688621483291518E-6</v>
      </c>
      <c r="Q180" s="9"/>
      <c r="R180">
        <v>2.9637241684811452E-2</v>
      </c>
    </row>
    <row r="181" spans="1:18" ht="16" thickBot="1" x14ac:dyDescent="0.25">
      <c r="A181" s="5">
        <v>46022</v>
      </c>
      <c r="B181" s="4">
        <v>-5.230866528792566E-4</v>
      </c>
      <c r="C181" s="4">
        <v>-1.9867549668874163E-2</v>
      </c>
      <c r="D181" s="3">
        <f t="shared" si="30"/>
        <v>2.4156940026688321E-3</v>
      </c>
      <c r="E181" s="2">
        <f t="shared" si="31"/>
        <v>-1.084926788059783E-2</v>
      </c>
      <c r="F181">
        <f t="shared" si="32"/>
        <v>1.1770661354497173E-4</v>
      </c>
      <c r="G181" s="2">
        <f t="shared" si="33"/>
        <v>-2.2283243671542996E-2</v>
      </c>
      <c r="H181">
        <f t="shared" si="34"/>
        <v>4.96542948525361E-4</v>
      </c>
      <c r="I181">
        <f t="shared" si="35"/>
        <v>2.7361964642042387E-7</v>
      </c>
      <c r="Q181" s="9"/>
      <c r="R181">
        <v>-3.6544293125247977E-2</v>
      </c>
    </row>
    <row r="182" spans="1:18" ht="16" thickBot="1" x14ac:dyDescent="0.25">
      <c r="A182" s="5">
        <v>46049</v>
      </c>
      <c r="B182" s="4">
        <v>1.9442280325868699E-2</v>
      </c>
      <c r="C182" s="4">
        <v>-5.5378908320084741E-2</v>
      </c>
      <c r="D182" s="3">
        <f t="shared" si="30"/>
        <v>1.8207921625016804E-2</v>
      </c>
      <c r="E182" s="2">
        <f t="shared" si="31"/>
        <v>9.116099098150126E-3</v>
      </c>
      <c r="F182">
        <f t="shared" si="32"/>
        <v>8.310326276729354E-5</v>
      </c>
      <c r="G182" s="2">
        <f t="shared" si="33"/>
        <v>-7.3586829945101545E-2</v>
      </c>
      <c r="H182">
        <f t="shared" si="34"/>
        <v>5.415021541369293E-3</v>
      </c>
      <c r="I182">
        <f t="shared" si="35"/>
        <v>3.7800226426966112E-4</v>
      </c>
      <c r="Q182" s="9"/>
    </row>
    <row r="183" spans="1:18" ht="16" thickBot="1" x14ac:dyDescent="0.25">
      <c r="Q183" s="9"/>
    </row>
    <row r="184" spans="1:18" ht="16" thickBot="1" x14ac:dyDescent="0.25">
      <c r="Q184" s="9"/>
    </row>
    <row r="185" spans="1:18" ht="16" thickBot="1" x14ac:dyDescent="0.25">
      <c r="Q185" s="9"/>
    </row>
    <row r="186" spans="1:18" ht="16" thickBot="1" x14ac:dyDescent="0.25">
      <c r="Q186" s="9"/>
    </row>
    <row r="187" spans="1:18" ht="16" thickBot="1" x14ac:dyDescent="0.25">
      <c r="Q187" s="9"/>
    </row>
    <row r="188" spans="1:18" ht="16" thickBot="1" x14ac:dyDescent="0.25">
      <c r="Q188" s="9"/>
    </row>
    <row r="189" spans="1:18" ht="16" thickBot="1" x14ac:dyDescent="0.25">
      <c r="Q189" s="9"/>
    </row>
    <row r="190" spans="1:18" ht="16" thickBot="1" x14ac:dyDescent="0.25">
      <c r="Q190" s="9"/>
    </row>
    <row r="191" spans="1:18" ht="16" thickBot="1" x14ac:dyDescent="0.25">
      <c r="Q191" s="9"/>
    </row>
    <row r="192" spans="1:18" ht="16" thickBot="1" x14ac:dyDescent="0.25">
      <c r="Q192" s="9"/>
    </row>
    <row r="193" spans="17:17" ht="16" thickBot="1" x14ac:dyDescent="0.25">
      <c r="Q193" s="9"/>
    </row>
    <row r="194" spans="17:17" ht="16" thickBot="1" x14ac:dyDescent="0.25">
      <c r="Q194" s="9"/>
    </row>
    <row r="195" spans="17:17" ht="16" thickBot="1" x14ac:dyDescent="0.25">
      <c r="Q195" s="9"/>
    </row>
    <row r="196" spans="17:17" ht="16" thickBot="1" x14ac:dyDescent="0.25">
      <c r="Q196" s="9"/>
    </row>
    <row r="197" spans="17:17" ht="16" thickBot="1" x14ac:dyDescent="0.25">
      <c r="Q197" s="9"/>
    </row>
    <row r="198" spans="17:17" ht="16" thickBot="1" x14ac:dyDescent="0.25">
      <c r="Q198" s="9"/>
    </row>
    <row r="199" spans="17:17" ht="16" thickBot="1" x14ac:dyDescent="0.25">
      <c r="Q199" s="9"/>
    </row>
    <row r="200" spans="17:17" ht="16" thickBot="1" x14ac:dyDescent="0.25">
      <c r="Q200" s="9"/>
    </row>
    <row r="201" spans="17:17" ht="16" thickBot="1" x14ac:dyDescent="0.25">
      <c r="Q201" s="9"/>
    </row>
    <row r="202" spans="17:17" ht="16" thickBot="1" x14ac:dyDescent="0.25">
      <c r="Q202" s="9"/>
    </row>
    <row r="203" spans="17:17" ht="16" thickBot="1" x14ac:dyDescent="0.25">
      <c r="Q203" s="9"/>
    </row>
    <row r="204" spans="17:17" ht="16" thickBot="1" x14ac:dyDescent="0.25">
      <c r="Q204" s="9"/>
    </row>
    <row r="205" spans="17:17" ht="16" thickBot="1" x14ac:dyDescent="0.25">
      <c r="Q205" s="9"/>
    </row>
    <row r="206" spans="17:17" ht="16" thickBot="1" x14ac:dyDescent="0.25">
      <c r="Q206" s="9"/>
    </row>
    <row r="207" spans="17:17" ht="16" thickBot="1" x14ac:dyDescent="0.25">
      <c r="Q207" s="9"/>
    </row>
    <row r="208" spans="17:17" ht="16" thickBot="1" x14ac:dyDescent="0.25">
      <c r="Q208" s="9"/>
    </row>
    <row r="209" spans="17:18" ht="16" thickBot="1" x14ac:dyDescent="0.25">
      <c r="Q209" s="9"/>
    </row>
    <row r="210" spans="17:18" ht="16" thickBot="1" x14ac:dyDescent="0.25">
      <c r="Q210" s="9"/>
    </row>
    <row r="211" spans="17:18" ht="16" thickBot="1" x14ac:dyDescent="0.25">
      <c r="Q211" s="9"/>
    </row>
    <row r="212" spans="17:18" ht="16" thickBot="1" x14ac:dyDescent="0.25">
      <c r="Q212" s="9"/>
    </row>
    <row r="213" spans="17:18" ht="16" thickBot="1" x14ac:dyDescent="0.25">
      <c r="Q213" s="9"/>
    </row>
    <row r="214" spans="17:18" ht="16" thickBot="1" x14ac:dyDescent="0.25">
      <c r="Q214" s="9"/>
    </row>
    <row r="215" spans="17:18" ht="16" thickBot="1" x14ac:dyDescent="0.25">
      <c r="Q215" s="9"/>
    </row>
    <row r="216" spans="17:18" ht="16" thickBot="1" x14ac:dyDescent="0.25">
      <c r="Q216" s="9"/>
    </row>
    <row r="217" spans="17:18" ht="16" thickBot="1" x14ac:dyDescent="0.25">
      <c r="Q217" s="9"/>
    </row>
    <row r="218" spans="17:18" ht="16" thickBot="1" x14ac:dyDescent="0.25">
      <c r="Q218" s="9"/>
    </row>
    <row r="219" spans="17:18" ht="16" thickBot="1" x14ac:dyDescent="0.25">
      <c r="Q219" s="9"/>
    </row>
    <row r="220" spans="17:18" ht="16" thickBot="1" x14ac:dyDescent="0.25">
      <c r="Q220" s="9"/>
    </row>
    <row r="221" spans="17:18" ht="16" thickBot="1" x14ac:dyDescent="0.25">
      <c r="Q221" s="9"/>
    </row>
    <row r="222" spans="17:18" ht="16" thickBot="1" x14ac:dyDescent="0.25">
      <c r="Q222" s="9"/>
      <c r="R22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Nath Manne</dc:creator>
  <cp:lastModifiedBy>Deepika Nath Manne</cp:lastModifiedBy>
  <dcterms:created xsi:type="dcterms:W3CDTF">2026-01-29T05:44:54Z</dcterms:created>
  <dcterms:modified xsi:type="dcterms:W3CDTF">2026-01-29T06:04:53Z</dcterms:modified>
</cp:coreProperties>
</file>