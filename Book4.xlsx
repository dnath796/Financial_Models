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epikanath/dnath796/"/>
    </mc:Choice>
  </mc:AlternateContent>
  <xr:revisionPtr revIDLastSave="0" documentId="8_{178E39ED-2FF7-8D43-820B-FEEB43968048}" xr6:coauthVersionLast="47" xr6:coauthVersionMax="47" xr10:uidLastSave="{00000000-0000-0000-0000-000000000000}"/>
  <bookViews>
    <workbookView xWindow="0" yWindow="0" windowWidth="28800" windowHeight="18000" xr2:uid="{0BAB53BC-C8FD-0C43-AA95-99017652C747}"/>
  </bookViews>
  <sheets>
    <sheet name="Sheet1" sheetId="1" r:id="rId1"/>
  </sheets>
  <externalReferences>
    <externalReference r:id="rId2"/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" i="1" l="1"/>
  <c r="I127" i="1"/>
  <c r="I126" i="1"/>
  <c r="I125" i="1"/>
  <c r="E125" i="1"/>
  <c r="F125" i="1" s="1"/>
  <c r="I124" i="1"/>
  <c r="I123" i="1"/>
  <c r="I122" i="1"/>
  <c r="I121" i="1"/>
  <c r="E121" i="1"/>
  <c r="F121" i="1" s="1"/>
  <c r="I120" i="1"/>
  <c r="I119" i="1"/>
  <c r="I118" i="1"/>
  <c r="I117" i="1"/>
  <c r="E117" i="1"/>
  <c r="F117" i="1" s="1"/>
  <c r="I116" i="1"/>
  <c r="I115" i="1"/>
  <c r="I114" i="1"/>
  <c r="I113" i="1"/>
  <c r="I112" i="1"/>
  <c r="I111" i="1"/>
  <c r="I110" i="1"/>
  <c r="I109" i="1"/>
  <c r="I108" i="1"/>
  <c r="E108" i="1"/>
  <c r="F108" i="1" s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E85" i="1"/>
  <c r="F85" i="1" s="1"/>
  <c r="I84" i="1"/>
  <c r="I83" i="1"/>
  <c r="I82" i="1"/>
  <c r="I81" i="1"/>
  <c r="I80" i="1"/>
  <c r="I79" i="1"/>
  <c r="I78" i="1"/>
  <c r="I77" i="1"/>
  <c r="I76" i="1"/>
  <c r="E76" i="1"/>
  <c r="F76" i="1" s="1"/>
  <c r="I75" i="1"/>
  <c r="I74" i="1"/>
  <c r="I73" i="1"/>
  <c r="I72" i="1"/>
  <c r="E72" i="1"/>
  <c r="F72" i="1" s="1"/>
  <c r="I71" i="1"/>
  <c r="I70" i="1"/>
  <c r="I69" i="1"/>
  <c r="D69" i="1"/>
  <c r="G69" i="1" s="1"/>
  <c r="H69" i="1" s="1"/>
  <c r="I68" i="1"/>
  <c r="I67" i="1"/>
  <c r="I66" i="1"/>
  <c r="I65" i="1"/>
  <c r="E65" i="1"/>
  <c r="F65" i="1" s="1"/>
  <c r="I64" i="1"/>
  <c r="I63" i="1"/>
  <c r="I62" i="1"/>
  <c r="I61" i="1"/>
  <c r="E61" i="1"/>
  <c r="F61" i="1" s="1"/>
  <c r="I60" i="1"/>
  <c r="I59" i="1"/>
  <c r="I58" i="1"/>
  <c r="I57" i="1"/>
  <c r="E57" i="1"/>
  <c r="F57" i="1" s="1"/>
  <c r="I56" i="1"/>
  <c r="I55" i="1"/>
  <c r="I54" i="1"/>
  <c r="I53" i="1"/>
  <c r="I52" i="1"/>
  <c r="I51" i="1"/>
  <c r="D51" i="1"/>
  <c r="G51" i="1" s="1"/>
  <c r="H51" i="1" s="1"/>
  <c r="I50" i="1"/>
  <c r="I49" i="1"/>
  <c r="I48" i="1"/>
  <c r="E48" i="1"/>
  <c r="F48" i="1" s="1"/>
  <c r="I47" i="1"/>
  <c r="I46" i="1"/>
  <c r="I45" i="1"/>
  <c r="E45" i="1"/>
  <c r="F45" i="1" s="1"/>
  <c r="I44" i="1"/>
  <c r="E44" i="1"/>
  <c r="F44" i="1" s="1"/>
  <c r="I43" i="1"/>
  <c r="D43" i="1"/>
  <c r="G43" i="1" s="1"/>
  <c r="H43" i="1" s="1"/>
  <c r="I42" i="1"/>
  <c r="I41" i="1"/>
  <c r="I40" i="1"/>
  <c r="F40" i="1"/>
  <c r="E40" i="1"/>
  <c r="I39" i="1"/>
  <c r="I38" i="1"/>
  <c r="I37" i="1"/>
  <c r="I36" i="1"/>
  <c r="E36" i="1"/>
  <c r="F36" i="1" s="1"/>
  <c r="I35" i="1"/>
  <c r="I34" i="1"/>
  <c r="I33" i="1"/>
  <c r="E33" i="1"/>
  <c r="F33" i="1" s="1"/>
  <c r="I32" i="1"/>
  <c r="I31" i="1"/>
  <c r="I30" i="1"/>
  <c r="I29" i="1"/>
  <c r="E29" i="1"/>
  <c r="F29" i="1" s="1"/>
  <c r="I28" i="1"/>
  <c r="E28" i="1"/>
  <c r="F28" i="1" s="1"/>
  <c r="I27" i="1"/>
  <c r="D27" i="1"/>
  <c r="G27" i="1" s="1"/>
  <c r="H27" i="1" s="1"/>
  <c r="I26" i="1"/>
  <c r="I25" i="1"/>
  <c r="E25" i="1"/>
  <c r="F25" i="1" s="1"/>
  <c r="D25" i="1"/>
  <c r="G25" i="1" s="1"/>
  <c r="H25" i="1" s="1"/>
  <c r="I24" i="1"/>
  <c r="I23" i="1"/>
  <c r="E23" i="1"/>
  <c r="F23" i="1" s="1"/>
  <c r="I22" i="1"/>
  <c r="I21" i="1"/>
  <c r="I20" i="1"/>
  <c r="E20" i="1"/>
  <c r="F20" i="1" s="1"/>
  <c r="I19" i="1"/>
  <c r="E19" i="1"/>
  <c r="F19" i="1" s="1"/>
  <c r="I18" i="1"/>
  <c r="E18" i="1"/>
  <c r="F18" i="1" s="1"/>
  <c r="I17" i="1"/>
  <c r="D17" i="1"/>
  <c r="G17" i="1" s="1"/>
  <c r="H17" i="1" s="1"/>
  <c r="I16" i="1"/>
  <c r="I15" i="1"/>
  <c r="I14" i="1"/>
  <c r="I13" i="1"/>
  <c r="E13" i="1"/>
  <c r="F13" i="1" s="1"/>
  <c r="I12" i="1"/>
  <c r="L11" i="1"/>
  <c r="L22" i="1" s="1"/>
  <c r="I11" i="1"/>
  <c r="E11" i="1"/>
  <c r="F11" i="1" s="1"/>
  <c r="I10" i="1"/>
  <c r="E10" i="1"/>
  <c r="F10" i="1" s="1"/>
  <c r="I9" i="1"/>
  <c r="E9" i="1"/>
  <c r="F9" i="1" s="1"/>
  <c r="L8" i="1"/>
  <c r="D87" i="1" s="1"/>
  <c r="G87" i="1" s="1"/>
  <c r="H87" i="1" s="1"/>
  <c r="I8" i="1"/>
  <c r="I7" i="1"/>
  <c r="L6" i="1"/>
  <c r="I6" i="1"/>
  <c r="L5" i="1"/>
  <c r="I5" i="1"/>
  <c r="F5" i="1"/>
  <c r="E5" i="1"/>
  <c r="D5" i="1"/>
  <c r="G5" i="1" s="1"/>
  <c r="H5" i="1" s="1"/>
  <c r="I4" i="1"/>
  <c r="E4" i="1"/>
  <c r="F4" i="1" s="1"/>
  <c r="L3" i="1"/>
  <c r="L9" i="1" s="1"/>
  <c r="I3" i="1"/>
  <c r="D3" i="1"/>
  <c r="G3" i="1" s="1"/>
  <c r="H3" i="1" s="1"/>
  <c r="L2" i="1"/>
  <c r="E100" i="1" s="1"/>
  <c r="F100" i="1" s="1"/>
  <c r="I2" i="1"/>
  <c r="D32" i="1" l="1"/>
  <c r="G32" i="1" s="1"/>
  <c r="H32" i="1" s="1"/>
  <c r="D40" i="1"/>
  <c r="G40" i="1" s="1"/>
  <c r="H40" i="1" s="1"/>
  <c r="D48" i="1"/>
  <c r="G48" i="1" s="1"/>
  <c r="H48" i="1" s="1"/>
  <c r="D59" i="1"/>
  <c r="G59" i="1" s="1"/>
  <c r="H59" i="1" s="1"/>
  <c r="D112" i="1"/>
  <c r="G112" i="1" s="1"/>
  <c r="H112" i="1" s="1"/>
  <c r="D119" i="1"/>
  <c r="G119" i="1" s="1"/>
  <c r="H119" i="1" s="1"/>
  <c r="D123" i="1"/>
  <c r="G123" i="1" s="1"/>
  <c r="H123" i="1" s="1"/>
  <c r="D57" i="1"/>
  <c r="G57" i="1" s="1"/>
  <c r="H57" i="1" s="1"/>
  <c r="D72" i="1"/>
  <c r="G72" i="1" s="1"/>
  <c r="H72" i="1" s="1"/>
  <c r="D84" i="1"/>
  <c r="G84" i="1" s="1"/>
  <c r="H84" i="1" s="1"/>
  <c r="D20" i="1"/>
  <c r="G20" i="1" s="1"/>
  <c r="H20" i="1" s="1"/>
  <c r="D19" i="1"/>
  <c r="G19" i="1" s="1"/>
  <c r="H19" i="1" s="1"/>
  <c r="D14" i="1"/>
  <c r="G14" i="1" s="1"/>
  <c r="H14" i="1" s="1"/>
  <c r="D13" i="1"/>
  <c r="G13" i="1" s="1"/>
  <c r="H13" i="1" s="1"/>
  <c r="D126" i="1"/>
  <c r="G126" i="1" s="1"/>
  <c r="H126" i="1" s="1"/>
  <c r="D122" i="1"/>
  <c r="G122" i="1" s="1"/>
  <c r="H122" i="1" s="1"/>
  <c r="D118" i="1"/>
  <c r="G118" i="1" s="1"/>
  <c r="H118" i="1" s="1"/>
  <c r="D114" i="1"/>
  <c r="G114" i="1" s="1"/>
  <c r="H114" i="1" s="1"/>
  <c r="D110" i="1"/>
  <c r="G110" i="1" s="1"/>
  <c r="H110" i="1" s="1"/>
  <c r="D106" i="1"/>
  <c r="G106" i="1" s="1"/>
  <c r="H106" i="1" s="1"/>
  <c r="D102" i="1"/>
  <c r="G102" i="1" s="1"/>
  <c r="H102" i="1" s="1"/>
  <c r="D98" i="1"/>
  <c r="G98" i="1" s="1"/>
  <c r="H98" i="1" s="1"/>
  <c r="D94" i="1"/>
  <c r="G94" i="1" s="1"/>
  <c r="H94" i="1" s="1"/>
  <c r="D90" i="1"/>
  <c r="G90" i="1" s="1"/>
  <c r="H90" i="1" s="1"/>
  <c r="D86" i="1"/>
  <c r="G86" i="1" s="1"/>
  <c r="H86" i="1" s="1"/>
  <c r="D82" i="1"/>
  <c r="G82" i="1" s="1"/>
  <c r="H82" i="1" s="1"/>
  <c r="D78" i="1"/>
  <c r="G78" i="1" s="1"/>
  <c r="H78" i="1" s="1"/>
  <c r="D74" i="1"/>
  <c r="G74" i="1" s="1"/>
  <c r="H74" i="1" s="1"/>
  <c r="D70" i="1"/>
  <c r="G70" i="1" s="1"/>
  <c r="H70" i="1" s="1"/>
  <c r="D66" i="1"/>
  <c r="G66" i="1" s="1"/>
  <c r="H66" i="1" s="1"/>
  <c r="D62" i="1"/>
  <c r="G62" i="1" s="1"/>
  <c r="H62" i="1" s="1"/>
  <c r="D58" i="1"/>
  <c r="G58" i="1" s="1"/>
  <c r="H58" i="1" s="1"/>
  <c r="D54" i="1"/>
  <c r="G54" i="1" s="1"/>
  <c r="H54" i="1" s="1"/>
  <c r="D50" i="1"/>
  <c r="G50" i="1" s="1"/>
  <c r="H50" i="1" s="1"/>
  <c r="D46" i="1"/>
  <c r="G46" i="1" s="1"/>
  <c r="H46" i="1" s="1"/>
  <c r="D42" i="1"/>
  <c r="G42" i="1" s="1"/>
  <c r="H42" i="1" s="1"/>
  <c r="D38" i="1"/>
  <c r="G38" i="1" s="1"/>
  <c r="H38" i="1" s="1"/>
  <c r="D34" i="1"/>
  <c r="G34" i="1" s="1"/>
  <c r="H34" i="1" s="1"/>
  <c r="D30" i="1"/>
  <c r="G30" i="1" s="1"/>
  <c r="H30" i="1" s="1"/>
  <c r="D26" i="1"/>
  <c r="G26" i="1" s="1"/>
  <c r="H26" i="1" s="1"/>
  <c r="D21" i="1"/>
  <c r="G21" i="1" s="1"/>
  <c r="H21" i="1" s="1"/>
  <c r="D15" i="1"/>
  <c r="G15" i="1" s="1"/>
  <c r="H15" i="1" s="1"/>
  <c r="D128" i="1"/>
  <c r="G128" i="1" s="1"/>
  <c r="H128" i="1" s="1"/>
  <c r="D124" i="1"/>
  <c r="G124" i="1" s="1"/>
  <c r="H124" i="1" s="1"/>
  <c r="D109" i="1"/>
  <c r="G109" i="1" s="1"/>
  <c r="H109" i="1" s="1"/>
  <c r="D103" i="1"/>
  <c r="G103" i="1" s="1"/>
  <c r="H103" i="1" s="1"/>
  <c r="D92" i="1"/>
  <c r="G92" i="1" s="1"/>
  <c r="H92" i="1" s="1"/>
  <c r="D77" i="1"/>
  <c r="G77" i="1" s="1"/>
  <c r="H77" i="1" s="1"/>
  <c r="D71" i="1"/>
  <c r="G71" i="1" s="1"/>
  <c r="H71" i="1" s="1"/>
  <c r="D60" i="1"/>
  <c r="G60" i="1" s="1"/>
  <c r="H60" i="1" s="1"/>
  <c r="D45" i="1"/>
  <c r="G45" i="1" s="1"/>
  <c r="H45" i="1" s="1"/>
  <c r="D39" i="1"/>
  <c r="G39" i="1" s="1"/>
  <c r="H39" i="1" s="1"/>
  <c r="D28" i="1"/>
  <c r="G28" i="1" s="1"/>
  <c r="H28" i="1" s="1"/>
  <c r="D11" i="1"/>
  <c r="G11" i="1" s="1"/>
  <c r="H11" i="1" s="1"/>
  <c r="D127" i="1"/>
  <c r="G127" i="1" s="1"/>
  <c r="H127" i="1" s="1"/>
  <c r="D116" i="1"/>
  <c r="G116" i="1" s="1"/>
  <c r="H116" i="1" s="1"/>
  <c r="D120" i="1"/>
  <c r="G120" i="1" s="1"/>
  <c r="H120" i="1" s="1"/>
  <c r="D105" i="1"/>
  <c r="G105" i="1" s="1"/>
  <c r="H105" i="1" s="1"/>
  <c r="D99" i="1"/>
  <c r="G99" i="1" s="1"/>
  <c r="H99" i="1" s="1"/>
  <c r="D88" i="1"/>
  <c r="G88" i="1" s="1"/>
  <c r="H88" i="1" s="1"/>
  <c r="D73" i="1"/>
  <c r="G73" i="1" s="1"/>
  <c r="H73" i="1" s="1"/>
  <c r="D67" i="1"/>
  <c r="G67" i="1" s="1"/>
  <c r="H67" i="1" s="1"/>
  <c r="D56" i="1"/>
  <c r="G56" i="1" s="1"/>
  <c r="H56" i="1" s="1"/>
  <c r="D41" i="1"/>
  <c r="G41" i="1" s="1"/>
  <c r="H41" i="1" s="1"/>
  <c r="D35" i="1"/>
  <c r="G35" i="1" s="1"/>
  <c r="H35" i="1" s="1"/>
  <c r="D24" i="1"/>
  <c r="G24" i="1" s="1"/>
  <c r="H24" i="1" s="1"/>
  <c r="D22" i="1"/>
  <c r="G22" i="1" s="1"/>
  <c r="H22" i="1" s="1"/>
  <c r="D12" i="1"/>
  <c r="G12" i="1" s="1"/>
  <c r="H12" i="1" s="1"/>
  <c r="D8" i="1"/>
  <c r="G8" i="1" s="1"/>
  <c r="H8" i="1" s="1"/>
  <c r="D2" i="1"/>
  <c r="G2" i="1" s="1"/>
  <c r="H2" i="1" s="1"/>
  <c r="D101" i="1"/>
  <c r="G101" i="1" s="1"/>
  <c r="H101" i="1" s="1"/>
  <c r="D95" i="1"/>
  <c r="G95" i="1" s="1"/>
  <c r="H95" i="1" s="1"/>
  <c r="D125" i="1"/>
  <c r="G125" i="1" s="1"/>
  <c r="H125" i="1" s="1"/>
  <c r="D121" i="1"/>
  <c r="G121" i="1" s="1"/>
  <c r="H121" i="1" s="1"/>
  <c r="D117" i="1"/>
  <c r="G117" i="1" s="1"/>
  <c r="H117" i="1" s="1"/>
  <c r="D111" i="1"/>
  <c r="G111" i="1" s="1"/>
  <c r="H111" i="1" s="1"/>
  <c r="D100" i="1"/>
  <c r="G100" i="1" s="1"/>
  <c r="H100" i="1" s="1"/>
  <c r="D85" i="1"/>
  <c r="G85" i="1" s="1"/>
  <c r="H85" i="1" s="1"/>
  <c r="D79" i="1"/>
  <c r="G79" i="1" s="1"/>
  <c r="H79" i="1" s="1"/>
  <c r="D68" i="1"/>
  <c r="G68" i="1" s="1"/>
  <c r="H68" i="1" s="1"/>
  <c r="D53" i="1"/>
  <c r="G53" i="1" s="1"/>
  <c r="H53" i="1" s="1"/>
  <c r="D47" i="1"/>
  <c r="G47" i="1" s="1"/>
  <c r="H47" i="1" s="1"/>
  <c r="D36" i="1"/>
  <c r="G36" i="1" s="1"/>
  <c r="H36" i="1" s="1"/>
  <c r="D6" i="1"/>
  <c r="G6" i="1" s="1"/>
  <c r="H6" i="1" s="1"/>
  <c r="D113" i="1"/>
  <c r="G113" i="1" s="1"/>
  <c r="H113" i="1" s="1"/>
  <c r="D107" i="1"/>
  <c r="G107" i="1" s="1"/>
  <c r="H107" i="1" s="1"/>
  <c r="D96" i="1"/>
  <c r="G96" i="1" s="1"/>
  <c r="H96" i="1" s="1"/>
  <c r="D81" i="1"/>
  <c r="G81" i="1" s="1"/>
  <c r="H81" i="1" s="1"/>
  <c r="D75" i="1"/>
  <c r="G75" i="1" s="1"/>
  <c r="H75" i="1" s="1"/>
  <c r="D64" i="1"/>
  <c r="G64" i="1" s="1"/>
  <c r="H64" i="1" s="1"/>
  <c r="D33" i="1"/>
  <c r="G33" i="1" s="1"/>
  <c r="H33" i="1" s="1"/>
  <c r="D63" i="1"/>
  <c r="G63" i="1" s="1"/>
  <c r="H63" i="1" s="1"/>
  <c r="D76" i="1"/>
  <c r="G76" i="1" s="1"/>
  <c r="H76" i="1" s="1"/>
  <c r="D91" i="1"/>
  <c r="G91" i="1" s="1"/>
  <c r="H91" i="1" s="1"/>
  <c r="D9" i="1"/>
  <c r="G9" i="1" s="1"/>
  <c r="H9" i="1" s="1"/>
  <c r="D18" i="1"/>
  <c r="G18" i="1" s="1"/>
  <c r="H18" i="1" s="1"/>
  <c r="D23" i="1"/>
  <c r="G23" i="1" s="1"/>
  <c r="H23" i="1" s="1"/>
  <c r="D52" i="1"/>
  <c r="G52" i="1" s="1"/>
  <c r="H52" i="1" s="1"/>
  <c r="D55" i="1"/>
  <c r="G55" i="1" s="1"/>
  <c r="H55" i="1" s="1"/>
  <c r="D89" i="1"/>
  <c r="G89" i="1" s="1"/>
  <c r="H89" i="1" s="1"/>
  <c r="E6" i="1"/>
  <c r="F6" i="1" s="1"/>
  <c r="D31" i="1"/>
  <c r="G31" i="1" s="1"/>
  <c r="H31" i="1" s="1"/>
  <c r="D80" i="1"/>
  <c r="G80" i="1" s="1"/>
  <c r="H80" i="1" s="1"/>
  <c r="D83" i="1"/>
  <c r="G83" i="1" s="1"/>
  <c r="H83" i="1" s="1"/>
  <c r="E89" i="1"/>
  <c r="F89" i="1" s="1"/>
  <c r="D93" i="1"/>
  <c r="G93" i="1" s="1"/>
  <c r="H93" i="1" s="1"/>
  <c r="D104" i="1"/>
  <c r="G104" i="1" s="1"/>
  <c r="H104" i="1" s="1"/>
  <c r="D49" i="1"/>
  <c r="G49" i="1" s="1"/>
  <c r="H49" i="1" s="1"/>
  <c r="D4" i="1"/>
  <c r="G4" i="1" s="1"/>
  <c r="H4" i="1" s="1"/>
  <c r="D7" i="1"/>
  <c r="G7" i="1" s="1"/>
  <c r="H7" i="1" s="1"/>
  <c r="D44" i="1"/>
  <c r="G44" i="1" s="1"/>
  <c r="H44" i="1" s="1"/>
  <c r="D61" i="1"/>
  <c r="G61" i="1" s="1"/>
  <c r="H61" i="1" s="1"/>
  <c r="E126" i="1"/>
  <c r="F126" i="1" s="1"/>
  <c r="E122" i="1"/>
  <c r="F122" i="1" s="1"/>
  <c r="E118" i="1"/>
  <c r="F118" i="1" s="1"/>
  <c r="E114" i="1"/>
  <c r="F114" i="1" s="1"/>
  <c r="E110" i="1"/>
  <c r="F110" i="1" s="1"/>
  <c r="E106" i="1"/>
  <c r="F106" i="1" s="1"/>
  <c r="E102" i="1"/>
  <c r="F102" i="1" s="1"/>
  <c r="E98" i="1"/>
  <c r="F98" i="1" s="1"/>
  <c r="E94" i="1"/>
  <c r="F94" i="1" s="1"/>
  <c r="E90" i="1"/>
  <c r="F90" i="1" s="1"/>
  <c r="E86" i="1"/>
  <c r="F86" i="1" s="1"/>
  <c r="E82" i="1"/>
  <c r="F82" i="1" s="1"/>
  <c r="E78" i="1"/>
  <c r="F78" i="1" s="1"/>
  <c r="E74" i="1"/>
  <c r="F74" i="1" s="1"/>
  <c r="E70" i="1"/>
  <c r="F70" i="1" s="1"/>
  <c r="E66" i="1"/>
  <c r="F66" i="1" s="1"/>
  <c r="E62" i="1"/>
  <c r="F62" i="1" s="1"/>
  <c r="E58" i="1"/>
  <c r="F58" i="1" s="1"/>
  <c r="E54" i="1"/>
  <c r="F54" i="1" s="1"/>
  <c r="E50" i="1"/>
  <c r="F50" i="1" s="1"/>
  <c r="E46" i="1"/>
  <c r="F46" i="1" s="1"/>
  <c r="E42" i="1"/>
  <c r="F42" i="1" s="1"/>
  <c r="E38" i="1"/>
  <c r="F38" i="1" s="1"/>
  <c r="E34" i="1"/>
  <c r="F34" i="1" s="1"/>
  <c r="E30" i="1"/>
  <c r="F30" i="1" s="1"/>
  <c r="E26" i="1"/>
  <c r="F26" i="1" s="1"/>
  <c r="E21" i="1"/>
  <c r="F21" i="1" s="1"/>
  <c r="E8" i="1"/>
  <c r="F8" i="1" s="1"/>
  <c r="E127" i="1"/>
  <c r="F127" i="1" s="1"/>
  <c r="E123" i="1"/>
  <c r="F123" i="1" s="1"/>
  <c r="E119" i="1"/>
  <c r="F119" i="1" s="1"/>
  <c r="E115" i="1"/>
  <c r="F115" i="1" s="1"/>
  <c r="E111" i="1"/>
  <c r="F111" i="1" s="1"/>
  <c r="E107" i="1"/>
  <c r="F107" i="1" s="1"/>
  <c r="E103" i="1"/>
  <c r="F103" i="1" s="1"/>
  <c r="E99" i="1"/>
  <c r="F99" i="1" s="1"/>
  <c r="E95" i="1"/>
  <c r="F95" i="1" s="1"/>
  <c r="E91" i="1"/>
  <c r="F91" i="1" s="1"/>
  <c r="E87" i="1"/>
  <c r="F87" i="1" s="1"/>
  <c r="E83" i="1"/>
  <c r="F83" i="1" s="1"/>
  <c r="E79" i="1"/>
  <c r="F79" i="1" s="1"/>
  <c r="E75" i="1"/>
  <c r="F75" i="1" s="1"/>
  <c r="E71" i="1"/>
  <c r="F71" i="1" s="1"/>
  <c r="E67" i="1"/>
  <c r="F67" i="1" s="1"/>
  <c r="E63" i="1"/>
  <c r="F63" i="1" s="1"/>
  <c r="E59" i="1"/>
  <c r="F59" i="1" s="1"/>
  <c r="E55" i="1"/>
  <c r="F55" i="1" s="1"/>
  <c r="E51" i="1"/>
  <c r="F51" i="1" s="1"/>
  <c r="E47" i="1"/>
  <c r="F47" i="1" s="1"/>
  <c r="E43" i="1"/>
  <c r="F43" i="1" s="1"/>
  <c r="E39" i="1"/>
  <c r="F39" i="1" s="1"/>
  <c r="E35" i="1"/>
  <c r="F35" i="1" s="1"/>
  <c r="E31" i="1"/>
  <c r="F31" i="1" s="1"/>
  <c r="E27" i="1"/>
  <c r="F27" i="1" s="1"/>
  <c r="E22" i="1"/>
  <c r="F22" i="1" s="1"/>
  <c r="E16" i="1"/>
  <c r="F16" i="1" s="1"/>
  <c r="E128" i="1"/>
  <c r="F128" i="1" s="1"/>
  <c r="E120" i="1"/>
  <c r="F120" i="1" s="1"/>
  <c r="E105" i="1"/>
  <c r="F105" i="1" s="1"/>
  <c r="E88" i="1"/>
  <c r="F88" i="1" s="1"/>
  <c r="E73" i="1"/>
  <c r="F73" i="1" s="1"/>
  <c r="E56" i="1"/>
  <c r="F56" i="1" s="1"/>
  <c r="E41" i="1"/>
  <c r="F41" i="1" s="1"/>
  <c r="E24" i="1"/>
  <c r="F24" i="1" s="1"/>
  <c r="E15" i="1"/>
  <c r="F15" i="1" s="1"/>
  <c r="E12" i="1"/>
  <c r="F12" i="1" s="1"/>
  <c r="E2" i="1"/>
  <c r="F2" i="1" s="1"/>
  <c r="E97" i="1"/>
  <c r="F97" i="1" s="1"/>
  <c r="E116" i="1"/>
  <c r="F116" i="1" s="1"/>
  <c r="E101" i="1"/>
  <c r="F101" i="1" s="1"/>
  <c r="E84" i="1"/>
  <c r="F84" i="1" s="1"/>
  <c r="E69" i="1"/>
  <c r="F69" i="1" s="1"/>
  <c r="E52" i="1"/>
  <c r="F52" i="1" s="1"/>
  <c r="E37" i="1"/>
  <c r="F37" i="1" s="1"/>
  <c r="E3" i="1"/>
  <c r="F3" i="1" s="1"/>
  <c r="E112" i="1"/>
  <c r="F112" i="1" s="1"/>
  <c r="E113" i="1"/>
  <c r="F113" i="1" s="1"/>
  <c r="E96" i="1"/>
  <c r="F96" i="1" s="1"/>
  <c r="E81" i="1"/>
  <c r="F81" i="1" s="1"/>
  <c r="E64" i="1"/>
  <c r="F64" i="1" s="1"/>
  <c r="E49" i="1"/>
  <c r="F49" i="1" s="1"/>
  <c r="E32" i="1"/>
  <c r="F32" i="1" s="1"/>
  <c r="E17" i="1"/>
  <c r="F17" i="1" s="1"/>
  <c r="E7" i="1"/>
  <c r="F7" i="1" s="1"/>
  <c r="E124" i="1"/>
  <c r="F124" i="1" s="1"/>
  <c r="E109" i="1"/>
  <c r="F109" i="1" s="1"/>
  <c r="E92" i="1"/>
  <c r="F92" i="1" s="1"/>
  <c r="E77" i="1"/>
  <c r="F77" i="1" s="1"/>
  <c r="E60" i="1"/>
  <c r="F60" i="1" s="1"/>
  <c r="D10" i="1"/>
  <c r="G10" i="1" s="1"/>
  <c r="H10" i="1" s="1"/>
  <c r="E14" i="1"/>
  <c r="F14" i="1" s="1"/>
  <c r="D16" i="1"/>
  <c r="G16" i="1" s="1"/>
  <c r="H16" i="1" s="1"/>
  <c r="L23" i="1"/>
  <c r="D29" i="1"/>
  <c r="G29" i="1" s="1"/>
  <c r="H29" i="1" s="1"/>
  <c r="D37" i="1"/>
  <c r="G37" i="1" s="1"/>
  <c r="H37" i="1" s="1"/>
  <c r="E53" i="1"/>
  <c r="F53" i="1" s="1"/>
  <c r="D65" i="1"/>
  <c r="G65" i="1" s="1"/>
  <c r="H65" i="1" s="1"/>
  <c r="E68" i="1"/>
  <c r="F68" i="1" s="1"/>
  <c r="E80" i="1"/>
  <c r="F80" i="1" s="1"/>
  <c r="E93" i="1"/>
  <c r="F93" i="1" s="1"/>
  <c r="D97" i="1"/>
  <c r="G97" i="1" s="1"/>
  <c r="H97" i="1" s="1"/>
  <c r="E104" i="1"/>
  <c r="F104" i="1" s="1"/>
  <c r="D108" i="1"/>
  <c r="G108" i="1" s="1"/>
  <c r="H108" i="1" s="1"/>
  <c r="D115" i="1"/>
  <c r="G115" i="1" s="1"/>
  <c r="H115" i="1" s="1"/>
  <c r="L13" i="1" l="1"/>
  <c r="L16" i="1" l="1"/>
  <c r="M13" i="1"/>
  <c r="L15" i="1"/>
  <c r="L20" i="1" s="1"/>
  <c r="L19" i="1" l="1"/>
  <c r="M19" i="1"/>
</calcChain>
</file>

<file path=xl/sharedStrings.xml><?xml version="1.0" encoding="utf-8"?>
<sst xmlns="http://schemas.openxmlformats.org/spreadsheetml/2006/main" count="24" uniqueCount="24">
  <si>
    <t>Date</t>
  </si>
  <si>
    <t>X</t>
  </si>
  <si>
    <t>Y</t>
  </si>
  <si>
    <t>fitted y</t>
  </si>
  <si>
    <t>Diff (x)</t>
  </si>
  <si>
    <t>Diff^2(X)</t>
  </si>
  <si>
    <t>Residual</t>
  </si>
  <si>
    <t>Residual^2</t>
  </si>
  <si>
    <t>X^2</t>
  </si>
  <si>
    <t>Average(SP)</t>
  </si>
  <si>
    <t>Average(BRK)</t>
  </si>
  <si>
    <t>Stdev(SP)</t>
  </si>
  <si>
    <t>Covariance</t>
  </si>
  <si>
    <t>Beta (sample)</t>
  </si>
  <si>
    <t>alpha(sample)</t>
  </si>
  <si>
    <t>T</t>
  </si>
  <si>
    <t>s</t>
  </si>
  <si>
    <t>SE(Alpha)</t>
  </si>
  <si>
    <t>SE(Beta)</t>
  </si>
  <si>
    <t>From 0</t>
  </si>
  <si>
    <t>from 1</t>
  </si>
  <si>
    <t>tstat (beta)</t>
  </si>
  <si>
    <t>tstat(alpha)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</si>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</sst>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%"/>
    <numFmt numFmtId="165" formatCode="_(* #,##0.00000000_);_(* \(#,##0.00000000\);_(* &quot;-&quot;??_);_(@_)"/>
    <numFmt numFmtId="166" formatCode="_(* #,##0.0000_);_(* \(#,##0.000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theme="6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2" applyNumberFormat="1" applyFont="1"/>
    <xf numFmtId="14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" fillId="0" borderId="0" xfId="0" applyFont="1"/>
    <xf numFmtId="165" fontId="3" fillId="0" borderId="0" xfId="1" applyNumberFormat="1" applyFont="1"/>
    <xf numFmtId="0" fontId="4" fillId="0" borderId="0" xfId="0" applyFont="1"/>
    <xf numFmtId="0" fontId="5" fillId="0" borderId="0" xfId="0" applyFont="1"/>
    <xf numFmtId="166" fontId="0" fillId="0" borderId="0" xfId="0" applyNumberFormat="1"/>
    <xf numFmtId="0" fontId="6" fillId="0" borderId="0" xfId="0" applyFont="1"/>
    <xf numFmtId="9" fontId="0" fillId="0" borderId="0" xfId="0" applyNumberFormat="1"/>
    <xf numFmtId="0" fontId="7" fillId="0" borderId="1" xfId="0" applyFont="1" applyBorder="1" applyAlignment="1">
      <alignment horizontal="centerContinuous"/>
    </xf>
    <xf numFmtId="0" fontId="0" fillId="0" borderId="2" xfId="0" applyBorder="1"/>
    <xf numFmtId="0" fontId="7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[1]Regression!$C$1</c:f>
              <c:strCache>
                <c:ptCount val="1"/>
                <c:pt idx="0">
                  <c:v>BRKA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[1]Regression!$B$2:$B$183</c:f>
              <c:numCache>
                <c:formatCode>0.000%</c:formatCode>
                <c:ptCount val="182"/>
                <c:pt idx="1">
                  <c:v>2.2649578490472999E-2</c:v>
                </c:pt>
                <c:pt idx="2">
                  <c:v>3.195910945579894E-2</c:v>
                </c:pt>
                <c:pt idx="3">
                  <c:v>-1.0529294887435814E-3</c:v>
                </c:pt>
                <c:pt idx="4">
                  <c:v>2.8499571093759002E-2</c:v>
                </c:pt>
                <c:pt idx="5">
                  <c:v>-1.3504480776294292E-2</c:v>
                </c:pt>
                <c:pt idx="6">
                  <c:v>-1.825627029945065E-2</c:v>
                </c:pt>
                <c:pt idx="7">
                  <c:v>-2.1471608161026334E-2</c:v>
                </c:pt>
                <c:pt idx="8">
                  <c:v>-5.6790341241537701E-2</c:v>
                </c:pt>
                <c:pt idx="9">
                  <c:v>-7.1764477077923883E-2</c:v>
                </c:pt>
                <c:pt idx="10">
                  <c:v>0.10771938412454141</c:v>
                </c:pt>
                <c:pt idx="11">
                  <c:v>-5.0556261619931764E-3</c:v>
                </c:pt>
                <c:pt idx="12">
                  <c:v>8.5365504007079984E-3</c:v>
                </c:pt>
                <c:pt idx="13">
                  <c:v>4.3578708271740929E-2</c:v>
                </c:pt>
                <c:pt idx="14">
                  <c:v>4.059183827413726E-2</c:v>
                </c:pt>
                <c:pt idx="15">
                  <c:v>3.1328759140914597E-2</c:v>
                </c:pt>
                <c:pt idx="16">
                  <c:v>-7.4945725482297165E-3</c:v>
                </c:pt>
                <c:pt idx="17">
                  <c:v>-6.2652719835805892E-2</c:v>
                </c:pt>
                <c:pt idx="18">
                  <c:v>3.9554751462240523E-2</c:v>
                </c:pt>
                <c:pt idx="19">
                  <c:v>1.2601447074721328E-2</c:v>
                </c:pt>
                <c:pt idx="20">
                  <c:v>1.9757325811015525E-2</c:v>
                </c:pt>
                <c:pt idx="21">
                  <c:v>2.4242445387785638E-2</c:v>
                </c:pt>
                <c:pt idx="22">
                  <c:v>-1.9793874212047369E-2</c:v>
                </c:pt>
                <c:pt idx="23">
                  <c:v>2.8492542936535692E-3</c:v>
                </c:pt>
                <c:pt idx="24">
                  <c:v>7.0657664069984083E-3</c:v>
                </c:pt>
                <c:pt idx="25">
                  <c:v>5.043020173049606E-2</c:v>
                </c:pt>
                <c:pt idx="26">
                  <c:v>1.1058821970285848E-2</c:v>
                </c:pt>
                <c:pt idx="27">
                  <c:v>3.5986259325691883E-2</c:v>
                </c:pt>
                <c:pt idx="28">
                  <c:v>1.8085682553137694E-2</c:v>
                </c:pt>
                <c:pt idx="29">
                  <c:v>2.0766732418904477E-2</c:v>
                </c:pt>
                <c:pt idx="30">
                  <c:v>-1.5001933320248795E-2</c:v>
                </c:pt>
                <c:pt idx="31">
                  <c:v>4.9460571279654753E-2</c:v>
                </c:pt>
                <c:pt idx="32">
                  <c:v>-3.1294465537713201E-2</c:v>
                </c:pt>
                <c:pt idx="33">
                  <c:v>2.9746704101058397E-2</c:v>
                </c:pt>
                <c:pt idx="34">
                  <c:v>4.4600588960842513E-2</c:v>
                </c:pt>
                <c:pt idx="35">
                  <c:v>2.804827958869982E-2</c:v>
                </c:pt>
                <c:pt idx="36">
                  <c:v>2.3559382769622994E-2</c:v>
                </c:pt>
                <c:pt idx="37">
                  <c:v>-3.5582720880623198E-2</c:v>
                </c:pt>
                <c:pt idx="38">
                  <c:v>4.3118460223648736E-2</c:v>
                </c:pt>
                <c:pt idx="39">
                  <c:v>6.9299048525690576E-3</c:v>
                </c:pt>
                <c:pt idx="40">
                  <c:v>6.2034572293734325E-3</c:v>
                </c:pt>
                <c:pt idx="41">
                  <c:v>2.1031623713360315E-2</c:v>
                </c:pt>
                <c:pt idx="42">
                  <c:v>1.9057548724431106E-2</c:v>
                </c:pt>
                <c:pt idx="43">
                  <c:v>-1.5078511662157346E-2</c:v>
                </c:pt>
                <c:pt idx="44">
                  <c:v>3.7652047716220105E-2</c:v>
                </c:pt>
                <c:pt idx="45">
                  <c:v>-1.55151500505194E-2</c:v>
                </c:pt>
                <c:pt idx="46">
                  <c:v>2.3206258162649318E-2</c:v>
                </c:pt>
                <c:pt idx="47">
                  <c:v>2.4532311268006479E-2</c:v>
                </c:pt>
                <c:pt idx="48">
                  <c:v>-4.1883462182201736E-3</c:v>
                </c:pt>
                <c:pt idx="49">
                  <c:v>-3.1041766456985753E-2</c:v>
                </c:pt>
                <c:pt idx="50">
                  <c:v>5.4893916586232772E-2</c:v>
                </c:pt>
                <c:pt idx="51">
                  <c:v>-1.7398884310388607E-2</c:v>
                </c:pt>
                <c:pt idx="52">
                  <c:v>8.52387508934771E-3</c:v>
                </c:pt>
                <c:pt idx="53">
                  <c:v>1.0489466239135492E-2</c:v>
                </c:pt>
                <c:pt idx="54">
                  <c:v>-2.101070755318124E-2</c:v>
                </c:pt>
                <c:pt idx="55">
                  <c:v>1.9738887770079039E-2</c:v>
                </c:pt>
                <c:pt idx="56">
                  <c:v>-6.2576510789646766E-2</c:v>
                </c:pt>
                <c:pt idx="57">
                  <c:v>-2.6446882672691241E-2</c:v>
                </c:pt>
                <c:pt idx="58">
                  <c:v>8.2984938771496264E-2</c:v>
                </c:pt>
                <c:pt idx="59">
                  <c:v>5.0351609765897365E-4</c:v>
                </c:pt>
                <c:pt idx="60">
                  <c:v>-1.7530208734062636E-2</c:v>
                </c:pt>
                <c:pt idx="61">
                  <c:v>-5.0734045036633701E-2</c:v>
                </c:pt>
                <c:pt idx="62">
                  <c:v>-4.1300480105391779E-3</c:v>
                </c:pt>
                <c:pt idx="63">
                  <c:v>6.599370661088555E-2</c:v>
                </c:pt>
                <c:pt idx="64">
                  <c:v>2.69700118981131E-3</c:v>
                </c:pt>
                <c:pt idx="65">
                  <c:v>1.5333341782454379E-2</c:v>
                </c:pt>
                <c:pt idx="66">
                  <c:v>9.0179481344954127E-4</c:v>
                </c:pt>
                <c:pt idx="67">
                  <c:v>3.5614001594188816E-2</c:v>
                </c:pt>
                <c:pt idx="68">
                  <c:v>-1.2223488580096475E-3</c:v>
                </c:pt>
                <c:pt idx="69">
                  <c:v>-1.2321204097999194E-3</c:v>
                </c:pt>
                <c:pt idx="70">
                  <c:v>-1.9425049470841449E-2</c:v>
                </c:pt>
                <c:pt idx="71">
                  <c:v>3.4173054294655225E-2</c:v>
                </c:pt>
                <c:pt idx="72">
                  <c:v>1.8199036954797077E-2</c:v>
                </c:pt>
                <c:pt idx="73">
                  <c:v>1.7884461192794632E-2</c:v>
                </c:pt>
                <c:pt idx="74">
                  <c:v>3.7198884614172645E-2</c:v>
                </c:pt>
                <c:pt idx="75">
                  <c:v>-3.89220623005615E-4</c:v>
                </c:pt>
                <c:pt idx="76">
                  <c:v>9.090079905042403E-3</c:v>
                </c:pt>
                <c:pt idx="77">
                  <c:v>1.1576989486522526E-2</c:v>
                </c:pt>
                <c:pt idx="78">
                  <c:v>4.8144869756812092E-3</c:v>
                </c:pt>
                <c:pt idx="79">
                  <c:v>1.9349245754665123E-2</c:v>
                </c:pt>
                <c:pt idx="80">
                  <c:v>5.4656627454563456E-4</c:v>
                </c:pt>
                <c:pt idx="81">
                  <c:v>1.9302676329669088E-2</c:v>
                </c:pt>
                <c:pt idx="82">
                  <c:v>2.2189828300208214E-2</c:v>
                </c:pt>
                <c:pt idx="83">
                  <c:v>2.8081044037432834E-2</c:v>
                </c:pt>
                <c:pt idx="84">
                  <c:v>9.8318450742365116E-3</c:v>
                </c:pt>
                <c:pt idx="85">
                  <c:v>5.6178494549969704E-2</c:v>
                </c:pt>
                <c:pt idx="86">
                  <c:v>-3.8947167504676861E-2</c:v>
                </c:pt>
                <c:pt idx="87">
                  <c:v>-2.6886184436862748E-2</c:v>
                </c:pt>
                <c:pt idx="88">
                  <c:v>2.7200828840745483E-3</c:v>
                </c:pt>
                <c:pt idx="89">
                  <c:v>2.1610392796586053E-2</c:v>
                </c:pt>
                <c:pt idx="90">
                  <c:v>4.8419161083466111E-3</c:v>
                </c:pt>
                <c:pt idx="91">
                  <c:v>3.6019762305947056E-2</c:v>
                </c:pt>
                <c:pt idx="92">
                  <c:v>3.0262894579943689E-2</c:v>
                </c:pt>
                <c:pt idx="93">
                  <c:v>4.2944638745812114E-3</c:v>
                </c:pt>
                <c:pt idx="94">
                  <c:v>-6.9401252196493624E-2</c:v>
                </c:pt>
                <c:pt idx="95">
                  <c:v>1.7859296884204179E-2</c:v>
                </c:pt>
                <c:pt idx="96">
                  <c:v>-9.1779377093156755E-2</c:v>
                </c:pt>
                <c:pt idx="97">
                  <c:v>7.8685848280793724E-2</c:v>
                </c:pt>
                <c:pt idx="98">
                  <c:v>2.9729211783815712E-2</c:v>
                </c:pt>
                <c:pt idx="99">
                  <c:v>1.7923726321195987E-2</c:v>
                </c:pt>
                <c:pt idx="100">
                  <c:v>3.9313813986679325E-2</c:v>
                </c:pt>
                <c:pt idx="101">
                  <c:v>-6.5777027995349791E-2</c:v>
                </c:pt>
                <c:pt idx="102">
                  <c:v>6.8929293833237093E-2</c:v>
                </c:pt>
                <c:pt idx="103">
                  <c:v>1.3127586423790971E-2</c:v>
                </c:pt>
                <c:pt idx="104">
                  <c:v>-1.8091903240630258E-2</c:v>
                </c:pt>
                <c:pt idx="105">
                  <c:v>1.7180885878367524E-2</c:v>
                </c:pt>
                <c:pt idx="106">
                  <c:v>2.0434172707484377E-2</c:v>
                </c:pt>
                <c:pt idx="107">
                  <c:v>3.4045760887282395E-2</c:v>
                </c:pt>
                <c:pt idx="108">
                  <c:v>2.8590218480137208E-2</c:v>
                </c:pt>
                <c:pt idx="109">
                  <c:v>-1.6298325630415E-3</c:v>
                </c:pt>
                <c:pt idx="110">
                  <c:v>-8.4108280807849045E-2</c:v>
                </c:pt>
                <c:pt idx="111">
                  <c:v>-0.1251201547093802</c:v>
                </c:pt>
                <c:pt idx="112">
                  <c:v>0.12684397460846775</c:v>
                </c:pt>
                <c:pt idx="113">
                  <c:v>4.5279923106294362E-2</c:v>
                </c:pt>
                <c:pt idx="114">
                  <c:v>1.8388423939773579E-2</c:v>
                </c:pt>
                <c:pt idx="115">
                  <c:v>5.5104528942981901E-2</c:v>
                </c:pt>
                <c:pt idx="116">
                  <c:v>7.006263851522454E-2</c:v>
                </c:pt>
                <c:pt idx="117">
                  <c:v>-3.9227837158300027E-2</c:v>
                </c:pt>
                <c:pt idx="118">
                  <c:v>-2.7665753706911711E-2</c:v>
                </c:pt>
                <c:pt idx="119">
                  <c:v>0.10754701680089429</c:v>
                </c:pt>
                <c:pt idx="120">
                  <c:v>3.7120829823122481E-2</c:v>
                </c:pt>
                <c:pt idx="121">
                  <c:v>-1.1136310777434488E-2</c:v>
                </c:pt>
                <c:pt idx="122">
                  <c:v>2.6090664481449366E-2</c:v>
                </c:pt>
                <c:pt idx="123">
                  <c:v>4.2439281964457898E-2</c:v>
                </c:pt>
                <c:pt idx="124">
                  <c:v>5.242595975007136E-2</c:v>
                </c:pt>
                <c:pt idx="125">
                  <c:v>5.485455831532926E-3</c:v>
                </c:pt>
                <c:pt idx="126">
                  <c:v>2.2213042500697888E-2</c:v>
                </c:pt>
                <c:pt idx="127">
                  <c:v>2.2749835231048232E-2</c:v>
                </c:pt>
                <c:pt idx="128">
                  <c:v>2.8989418612476836E-2</c:v>
                </c:pt>
                <c:pt idx="129">
                  <c:v>-4.7569441768317455E-2</c:v>
                </c:pt>
                <c:pt idx="130">
                  <c:v>6.9143405229559418E-2</c:v>
                </c:pt>
                <c:pt idx="131">
                  <c:v>-8.3326852720162492E-3</c:v>
                </c:pt>
                <c:pt idx="132">
                  <c:v>4.3613184423158868E-2</c:v>
                </c:pt>
                <c:pt idx="133">
                  <c:v>-5.2586187915612426E-2</c:v>
                </c:pt>
                <c:pt idx="134">
                  <c:v>-3.1360190036336055E-2</c:v>
                </c:pt>
                <c:pt idx="135">
                  <c:v>3.5774229488720222E-2</c:v>
                </c:pt>
                <c:pt idx="136">
                  <c:v>-8.7958206365867153E-2</c:v>
                </c:pt>
                <c:pt idx="137">
                  <c:v>5.3575877765332791E-5</c:v>
                </c:pt>
                <c:pt idx="138">
                  <c:v>-8.3918328754959526E-2</c:v>
                </c:pt>
                <c:pt idx="139">
                  <c:v>9.1113834372415381E-2</c:v>
                </c:pt>
                <c:pt idx="140">
                  <c:v>-4.243938128990743E-2</c:v>
                </c:pt>
                <c:pt idx="141">
                  <c:v>-9.3394435089137362E-2</c:v>
                </c:pt>
                <c:pt idx="142">
                  <c:v>7.9861443809644106E-2</c:v>
                </c:pt>
                <c:pt idx="143">
                  <c:v>5.3752726026202291E-2</c:v>
                </c:pt>
                <c:pt idx="144">
                  <c:v>-5.897149067685914E-2</c:v>
                </c:pt>
                <c:pt idx="145">
                  <c:v>6.1754771067835224E-2</c:v>
                </c:pt>
                <c:pt idx="146">
                  <c:v>-2.6112514640123874E-2</c:v>
                </c:pt>
                <c:pt idx="147">
                  <c:v>3.5051290624090514E-2</c:v>
                </c:pt>
                <c:pt idx="148">
                  <c:v>1.4642098118692548E-2</c:v>
                </c:pt>
                <c:pt idx="149">
                  <c:v>2.4808987107580727E-3</c:v>
                </c:pt>
                <c:pt idx="150">
                  <c:v>6.4728982734588048E-2</c:v>
                </c:pt>
                <c:pt idx="151">
                  <c:v>3.1138865858735043E-2</c:v>
                </c:pt>
                <c:pt idx="152">
                  <c:v>-1.7716285687521816E-2</c:v>
                </c:pt>
                <c:pt idx="153">
                  <c:v>-4.8718754745776027E-2</c:v>
                </c:pt>
                <c:pt idx="154">
                  <c:v>-2.1980405260002001E-2</c:v>
                </c:pt>
                <c:pt idx="155">
                  <c:v>8.9178692794205094E-2</c:v>
                </c:pt>
                <c:pt idx="156">
                  <c:v>4.4229350796097355E-2</c:v>
                </c:pt>
                <c:pt idx="157">
                  <c:v>1.5895278093018383E-2</c:v>
                </c:pt>
                <c:pt idx="158">
                  <c:v>5.1721125175185456E-2</c:v>
                </c:pt>
                <c:pt idx="159">
                  <c:v>3.101972951085985E-2</c:v>
                </c:pt>
                <c:pt idx="160">
                  <c:v>-4.161552611494046E-2</c:v>
                </c:pt>
                <c:pt idx="161">
                  <c:v>4.802034799716659E-2</c:v>
                </c:pt>
                <c:pt idx="162">
                  <c:v>3.4670776166343176E-2</c:v>
                </c:pt>
                <c:pt idx="163">
                  <c:v>1.1321199980694585E-2</c:v>
                </c:pt>
                <c:pt idx="164">
                  <c:v>2.2833847758855885E-2</c:v>
                </c:pt>
                <c:pt idx="165">
                  <c:v>2.0198233636761209E-2</c:v>
                </c:pt>
                <c:pt idx="166">
                  <c:v>-9.8979804465961774E-3</c:v>
                </c:pt>
                <c:pt idx="167">
                  <c:v>5.7302510889593705E-2</c:v>
                </c:pt>
                <c:pt idx="168">
                  <c:v>-2.4991239575695712E-2</c:v>
                </c:pt>
                <c:pt idx="169">
                  <c:v>2.7016039635902267E-2</c:v>
                </c:pt>
                <c:pt idx="170">
                  <c:v>-1.4240665110677675E-2</c:v>
                </c:pt>
                <c:pt idx="171">
                  <c:v>-5.7545040285423843E-2</c:v>
                </c:pt>
                <c:pt idx="172">
                  <c:v>-7.6245644475474439E-3</c:v>
                </c:pt>
                <c:pt idx="173">
                  <c:v>6.1522368328896571E-2</c:v>
                </c:pt>
                <c:pt idx="174">
                  <c:v>4.9608046400029027E-2</c:v>
                </c:pt>
                <c:pt idx="175">
                  <c:v>2.16666579329583E-2</c:v>
                </c:pt>
                <c:pt idx="176">
                  <c:v>1.9066189771405284E-2</c:v>
                </c:pt>
                <c:pt idx="177">
                  <c:v>3.532307920480493E-2</c:v>
                </c:pt>
                <c:pt idx="178">
                  <c:v>2.2686795816517558E-2</c:v>
                </c:pt>
                <c:pt idx="179">
                  <c:v>1.2994696931023508E-3</c:v>
                </c:pt>
                <c:pt idx="180">
                  <c:v>-5.230866528792566E-4</c:v>
                </c:pt>
                <c:pt idx="181">
                  <c:v>1.9442280325868699E-2</c:v>
                </c:pt>
              </c:numCache>
            </c:numRef>
          </c:xVal>
          <c:yVal>
            <c:numRef>
              <c:f>[1]Regression!$C$2:$C$183</c:f>
              <c:numCache>
                <c:formatCode>0.000%</c:formatCode>
                <c:ptCount val="182"/>
                <c:pt idx="1">
                  <c:v>1.6396845163968443E-2</c:v>
                </c:pt>
                <c:pt idx="2">
                  <c:v>7.2493363283643086E-2</c:v>
                </c:pt>
                <c:pt idx="3">
                  <c:v>-4.5696877380045686E-2</c:v>
                </c:pt>
                <c:pt idx="4">
                  <c:v>-4.3894652833200709E-3</c:v>
                </c:pt>
                <c:pt idx="5">
                  <c:v>-4.7895791583166369E-2</c:v>
                </c:pt>
                <c:pt idx="6">
                  <c:v>-2.2479478004630571E-2</c:v>
                </c:pt>
                <c:pt idx="7">
                  <c:v>-3.9662374574738424E-2</c:v>
                </c:pt>
                <c:pt idx="8">
                  <c:v>-1.5524663677130013E-2</c:v>
                </c:pt>
                <c:pt idx="9">
                  <c:v>-2.7047709280397902E-2</c:v>
                </c:pt>
                <c:pt idx="10">
                  <c:v>9.5037453183520526E-2</c:v>
                </c:pt>
                <c:pt idx="11">
                  <c:v>1.3253527148354038E-2</c:v>
                </c:pt>
                <c:pt idx="12">
                  <c:v>-3.1603375527426203E-2</c:v>
                </c:pt>
                <c:pt idx="13">
                  <c:v>2.7624068668031798E-2</c:v>
                </c:pt>
                <c:pt idx="14">
                  <c:v>7.631969472132738E-5</c:v>
                </c:pt>
                <c:pt idx="15">
                  <c:v>3.3628978920413166E-2</c:v>
                </c:pt>
                <c:pt idx="16">
                  <c:v>-9.0237899917965381E-3</c:v>
                </c:pt>
                <c:pt idx="17">
                  <c:v>-1.614238410596025E-2</c:v>
                </c:pt>
                <c:pt idx="18">
                  <c:v>5.1283129995792986E-2</c:v>
                </c:pt>
                <c:pt idx="19">
                  <c:v>2.0008803873704517E-2</c:v>
                </c:pt>
                <c:pt idx="20">
                  <c:v>-6.9449566479657943E-3</c:v>
                </c:pt>
                <c:pt idx="21">
                  <c:v>4.8515367031737533E-2</c:v>
                </c:pt>
                <c:pt idx="22">
                  <c:v>-2.4076865109268986E-2</c:v>
                </c:pt>
                <c:pt idx="23">
                  <c:v>1.8617041813057345E-2</c:v>
                </c:pt>
                <c:pt idx="24">
                  <c:v>1.6252766912277616E-2</c:v>
                </c:pt>
                <c:pt idx="25">
                  <c:v>8.8132179621065232E-2</c:v>
                </c:pt>
                <c:pt idx="26">
                  <c:v>4.6101113967437879E-2</c:v>
                </c:pt>
                <c:pt idx="27">
                  <c:v>2.4115334207077233E-2</c:v>
                </c:pt>
                <c:pt idx="28">
                  <c:v>1.7404658305605336E-2</c:v>
                </c:pt>
                <c:pt idx="29">
                  <c:v>7.735849056603783E-2</c:v>
                </c:pt>
                <c:pt idx="30">
                  <c:v>-1.5761821366024553E-2</c:v>
                </c:pt>
                <c:pt idx="31">
                  <c:v>3.1435349940688084E-2</c:v>
                </c:pt>
                <c:pt idx="32">
                  <c:v>-3.9390454284071286E-2</c:v>
                </c:pt>
                <c:pt idx="33">
                  <c:v>2.0113738401676073E-2</c:v>
                </c:pt>
                <c:pt idx="34">
                  <c:v>1.5168123936388556E-2</c:v>
                </c:pt>
                <c:pt idx="35">
                  <c:v>1.0145969705447788E-2</c:v>
                </c:pt>
                <c:pt idx="36">
                  <c:v>1.8025751072961338E-2</c:v>
                </c:pt>
                <c:pt idx="37">
                  <c:v>-4.715064643057898E-2</c:v>
                </c:pt>
                <c:pt idx="38">
                  <c:v>2.4754014319938733E-2</c:v>
                </c:pt>
                <c:pt idx="39">
                  <c:v>7.8534379533469867E-2</c:v>
                </c:pt>
                <c:pt idx="40">
                  <c:v>3.1625024919929468E-2</c:v>
                </c:pt>
                <c:pt idx="41">
                  <c:v>-6.5968180054326586E-3</c:v>
                </c:pt>
                <c:pt idx="42">
                  <c:v>-1.0934895833333291E-2</c:v>
                </c:pt>
                <c:pt idx="43">
                  <c:v>-9.3548990129040943E-3</c:v>
                </c:pt>
                <c:pt idx="44">
                  <c:v>9.438455486806574E-2</c:v>
                </c:pt>
                <c:pt idx="45">
                  <c:v>4.9543423353408667E-3</c:v>
                </c:pt>
                <c:pt idx="46">
                  <c:v>1.4983083615273118E-2</c:v>
                </c:pt>
                <c:pt idx="47">
                  <c:v>6.2214285714285777E-2</c:v>
                </c:pt>
                <c:pt idx="48">
                  <c:v>1.3157599802747999E-2</c:v>
                </c:pt>
                <c:pt idx="49">
                  <c:v>-4.4845132743362881E-2</c:v>
                </c:pt>
                <c:pt idx="50">
                  <c:v>2.4621870150325353E-2</c:v>
                </c:pt>
                <c:pt idx="51">
                  <c:v>-1.6638032371823819E-2</c:v>
                </c:pt>
                <c:pt idx="52">
                  <c:v>-1.8850574712643731E-2</c:v>
                </c:pt>
                <c:pt idx="53">
                  <c:v>6.5604498594189486E-3</c:v>
                </c:pt>
                <c:pt idx="54">
                  <c:v>-4.6322160148975833E-2</c:v>
                </c:pt>
                <c:pt idx="55">
                  <c:v>4.4666829387356666E-2</c:v>
                </c:pt>
                <c:pt idx="56">
                  <c:v>-5.3593457943925227E-2</c:v>
                </c:pt>
                <c:pt idx="57">
                  <c:v>-3.5999427248174398E-2</c:v>
                </c:pt>
                <c:pt idx="58">
                  <c:v>4.7920508092603953E-2</c:v>
                </c:pt>
                <c:pt idx="59">
                  <c:v>-1.5816536002658865E-2</c:v>
                </c:pt>
                <c:pt idx="60">
                  <c:v>-1.7679777512912165E-2</c:v>
                </c:pt>
                <c:pt idx="61">
                  <c:v>-1.7391051567239746E-2</c:v>
                </c:pt>
                <c:pt idx="62">
                  <c:v>4.2163757418255621E-2</c:v>
                </c:pt>
                <c:pt idx="63">
                  <c:v>5.3787860087383565E-2</c:v>
                </c:pt>
                <c:pt idx="64">
                  <c:v>2.6001405481377304E-2</c:v>
                </c:pt>
                <c:pt idx="65">
                  <c:v>-3.3356164383561593E-2</c:v>
                </c:pt>
                <c:pt idx="66">
                  <c:v>2.4941543257989141E-2</c:v>
                </c:pt>
                <c:pt idx="67">
                  <c:v>-4.4936052540615057E-3</c:v>
                </c:pt>
                <c:pt idx="68">
                  <c:v>4.5185185185185217E-2</c:v>
                </c:pt>
                <c:pt idx="69">
                  <c:v>-4.2257264351523771E-2</c:v>
                </c:pt>
                <c:pt idx="70">
                  <c:v>-2.4049579132364718E-3</c:v>
                </c:pt>
                <c:pt idx="71">
                  <c:v>9.8748261474269849E-2</c:v>
                </c:pt>
                <c:pt idx="72">
                  <c:v>3.0046413502109681E-2</c:v>
                </c:pt>
                <c:pt idx="73">
                  <c:v>7.6165098455274194E-3</c:v>
                </c:pt>
                <c:pt idx="74">
                  <c:v>4.5205440190649426E-2</c:v>
                </c:pt>
                <c:pt idx="75">
                  <c:v>-2.8199144301828127E-2</c:v>
                </c:pt>
                <c:pt idx="76">
                  <c:v>-8.2849709825895124E-3</c:v>
                </c:pt>
                <c:pt idx="77">
                  <c:v>2.6636532407782187E-3</c:v>
                </c:pt>
                <c:pt idx="78">
                  <c:v>2.5197230719690822E-2</c:v>
                </c:pt>
                <c:pt idx="79">
                  <c:v>3.1747153513937976E-2</c:v>
                </c:pt>
                <c:pt idx="80">
                  <c:v>3.2969792911342388E-2</c:v>
                </c:pt>
                <c:pt idx="81">
                  <c:v>1.2120095781911866E-2</c:v>
                </c:pt>
                <c:pt idx="82">
                  <c:v>2.0856082113998697E-2</c:v>
                </c:pt>
                <c:pt idx="83">
                  <c:v>3.9326844225763935E-2</c:v>
                </c:pt>
                <c:pt idx="84">
                  <c:v>2.0926277873070331E-2</c:v>
                </c:pt>
                <c:pt idx="85">
                  <c:v>8.6609674509083412E-2</c:v>
                </c:pt>
                <c:pt idx="86">
                  <c:v>-4.058770149397728E-2</c:v>
                </c:pt>
                <c:pt idx="87">
                  <c:v>-3.5938759065269998E-2</c:v>
                </c:pt>
                <c:pt idx="88">
                  <c:v>-2.8251420929454985E-2</c:v>
                </c:pt>
                <c:pt idx="89">
                  <c:v>-1.1869946671254072E-2</c:v>
                </c:pt>
                <c:pt idx="90">
                  <c:v>-1.7966538997214454E-2</c:v>
                </c:pt>
                <c:pt idx="91">
                  <c:v>6.9174547256610763E-2</c:v>
                </c:pt>
                <c:pt idx="92">
                  <c:v>4.7255844801856961E-2</c:v>
                </c:pt>
                <c:pt idx="93">
                  <c:v>1.3299715009499558E-2</c:v>
                </c:pt>
                <c:pt idx="94">
                  <c:v>-3.8422025246558467E-2</c:v>
                </c:pt>
                <c:pt idx="95">
                  <c:v>5.9456297427731064E-2</c:v>
                </c:pt>
                <c:pt idx="96">
                  <c:v>-6.1349693251533721E-2</c:v>
                </c:pt>
                <c:pt idx="97">
                  <c:v>1.7973856209150263E-2</c:v>
                </c:pt>
                <c:pt idx="98">
                  <c:v>-2.985553772070626E-2</c:v>
                </c:pt>
                <c:pt idx="99">
                  <c:v>-3.2594308405029526E-3</c:v>
                </c:pt>
                <c:pt idx="100">
                  <c:v>7.9229155254552319E-2</c:v>
                </c:pt>
                <c:pt idx="101">
                  <c:v>-8.6194195699698661E-2</c:v>
                </c:pt>
                <c:pt idx="102">
                  <c:v>7.1669023092977957E-2</c:v>
                </c:pt>
                <c:pt idx="103">
                  <c:v>-3.0419349772263238E-2</c:v>
                </c:pt>
                <c:pt idx="104">
                  <c:v>-1.8103710807150786E-2</c:v>
                </c:pt>
                <c:pt idx="105">
                  <c:v>2.8883653712905577E-2</c:v>
                </c:pt>
                <c:pt idx="106">
                  <c:v>2.2791118294466228E-2</c:v>
                </c:pt>
                <c:pt idx="107">
                  <c:v>3.6232978720068587E-2</c:v>
                </c:pt>
                <c:pt idx="108">
                  <c:v>2.7518985076662839E-2</c:v>
                </c:pt>
                <c:pt idx="109">
                  <c:v>-1.0583321063635576E-2</c:v>
                </c:pt>
                <c:pt idx="110">
                  <c:v>-8.0060504289917067E-2</c:v>
                </c:pt>
                <c:pt idx="111">
                  <c:v>-0.12001449387892438</c:v>
                </c:pt>
                <c:pt idx="112">
                  <c:v>3.5661764705882337E-2</c:v>
                </c:pt>
                <c:pt idx="113">
                  <c:v>-1.0862619808306717E-2</c:v>
                </c:pt>
                <c:pt idx="114">
                  <c:v>-4.0697674418604612E-2</c:v>
                </c:pt>
                <c:pt idx="115">
                  <c:v>9.850729517396184E-2</c:v>
                </c:pt>
                <c:pt idx="116">
                  <c:v>0.11554978868035048</c:v>
                </c:pt>
                <c:pt idx="117">
                  <c:v>-2.3076688240322385E-2</c:v>
                </c:pt>
                <c:pt idx="118">
                  <c:v>-5.4690422842428643E-2</c:v>
                </c:pt>
                <c:pt idx="119">
                  <c:v>0.13615864012698697</c:v>
                </c:pt>
                <c:pt idx="120">
                  <c:v>1.2007983985475201E-2</c:v>
                </c:pt>
                <c:pt idx="121">
                  <c:v>-1.0680965455773905E-2</c:v>
                </c:pt>
                <c:pt idx="122">
                  <c:v>5.9517611159546568E-2</c:v>
                </c:pt>
                <c:pt idx="123">
                  <c:v>5.7935129246389439E-2</c:v>
                </c:pt>
                <c:pt idx="124">
                  <c:v>6.947850931548194E-2</c:v>
                </c:pt>
                <c:pt idx="125">
                  <c:v>5.6969672727272602E-2</c:v>
                </c:pt>
                <c:pt idx="126">
                  <c:v>-3.9905941282246338E-2</c:v>
                </c:pt>
                <c:pt idx="127">
                  <c:v>7.142840079217283E-4</c:v>
                </c:pt>
                <c:pt idx="128">
                  <c:v>2.6259250417760782E-2</c:v>
                </c:pt>
                <c:pt idx="129">
                  <c:v>-4.3082135380321018E-2</c:v>
                </c:pt>
                <c:pt idx="130">
                  <c:v>5.2319176533541567E-2</c:v>
                </c:pt>
                <c:pt idx="131">
                  <c:v>-3.7019925987867963E-2</c:v>
                </c:pt>
                <c:pt idx="132">
                  <c:v>8.104568264903711E-2</c:v>
                </c:pt>
                <c:pt idx="133">
                  <c:v>4.2477510861798962E-2</c:v>
                </c:pt>
                <c:pt idx="134">
                  <c:v>1.3622673236768357E-2</c:v>
                </c:pt>
                <c:pt idx="135">
                  <c:v>0.11070022364317889</c:v>
                </c:pt>
                <c:pt idx="136">
                  <c:v>-8.4286689316552033E-2</c:v>
                </c:pt>
                <c:pt idx="137">
                  <c:v>-2.1245406119667964E-2</c:v>
                </c:pt>
                <c:pt idx="138">
                  <c:v>-0.13732728615124989</c:v>
                </c:pt>
                <c:pt idx="139">
                  <c:v>0.10453600684680286</c:v>
                </c:pt>
                <c:pt idx="140">
                  <c:v>-6.7283595306619426E-2</c:v>
                </c:pt>
                <c:pt idx="141">
                  <c:v>-3.5218889743370618E-2</c:v>
                </c:pt>
                <c:pt idx="142">
                  <c:v>9.4914753856373268E-2</c:v>
                </c:pt>
                <c:pt idx="143">
                  <c:v>7.9159644983709754E-2</c:v>
                </c:pt>
                <c:pt idx="144">
                  <c:v>-2.4088115266094778E-2</c:v>
                </c:pt>
                <c:pt idx="145">
                  <c:v>9.150500769173453E-3</c:v>
                </c:pt>
                <c:pt idx="146">
                  <c:v>-2.0031505292073093E-2</c:v>
                </c:pt>
                <c:pt idx="147">
                  <c:v>4.4765654495442231E-3</c:v>
                </c:pt>
                <c:pt idx="148">
                  <c:v>8.00686855670103E-2</c:v>
                </c:pt>
                <c:pt idx="149">
                  <c:v>-2.9541840182223944E-2</c:v>
                </c:pt>
                <c:pt idx="150">
                  <c:v>6.1033927062354554E-2</c:v>
                </c:pt>
                <c:pt idx="151">
                  <c:v>3.3969988992101241E-2</c:v>
                </c:pt>
                <c:pt idx="152">
                  <c:v>2.1152428091146813E-2</c:v>
                </c:pt>
                <c:pt idx="153">
                  <c:v>-2.7889724671640748E-2</c:v>
                </c:pt>
                <c:pt idx="154">
                  <c:v>-2.5686906488897931E-2</c:v>
                </c:pt>
                <c:pt idx="155">
                  <c:v>5.4217158306377744E-2</c:v>
                </c:pt>
                <c:pt idx="156">
                  <c:v>-5.999212309946822E-3</c:v>
                </c:pt>
                <c:pt idx="157">
                  <c:v>6.5229132537435675E-2</c:v>
                </c:pt>
                <c:pt idx="158">
                  <c:v>6.6677642065631648E-2</c:v>
                </c:pt>
                <c:pt idx="159">
                  <c:v>2.8997941809488337E-2</c:v>
                </c:pt>
                <c:pt idx="160">
                  <c:v>-5.5072173885631459E-2</c:v>
                </c:pt>
                <c:pt idx="161">
                  <c:v>4.653876486173858E-2</c:v>
                </c:pt>
                <c:pt idx="162">
                  <c:v>-2.4161619381574795E-2</c:v>
                </c:pt>
                <c:pt idx="163">
                  <c:v>7.6717877437152859E-2</c:v>
                </c:pt>
                <c:pt idx="164">
                  <c:v>8.5085176771140247E-2</c:v>
                </c:pt>
                <c:pt idx="165">
                  <c:v>-3.3719982345866484E-2</c:v>
                </c:pt>
                <c:pt idx="166">
                  <c:v>-2.0574235365606652E-2</c:v>
                </c:pt>
                <c:pt idx="167">
                  <c:v>6.9546996533766059E-2</c:v>
                </c:pt>
                <c:pt idx="168">
                  <c:v>-5.9554720733661082E-2</c:v>
                </c:pt>
                <c:pt idx="169">
                  <c:v>3.1859102390882965E-2</c:v>
                </c:pt>
                <c:pt idx="170">
                  <c:v>0.10302462164475923</c:v>
                </c:pt>
                <c:pt idx="171">
                  <c:v>3.0247239099964407E-2</c:v>
                </c:pt>
                <c:pt idx="172">
                  <c:v>2.6281195769359833E-3</c:v>
                </c:pt>
                <c:pt idx="173">
                  <c:v>-5.3888625178004856E-2</c:v>
                </c:pt>
                <c:pt idx="174">
                  <c:v>-3.7760760496435175E-2</c:v>
                </c:pt>
                <c:pt idx="175">
                  <c:v>-1.2280461031833112E-2</c:v>
                </c:pt>
                <c:pt idx="176">
                  <c:v>4.9218587205667852E-2</c:v>
                </c:pt>
                <c:pt idx="177">
                  <c:v>-1.4299332697806921E-3</c:v>
                </c:pt>
                <c:pt idx="178">
                  <c:v>-5.0994431185361955E-2</c:v>
                </c:pt>
                <c:pt idx="179">
                  <c:v>7.5949367088607556E-2</c:v>
                </c:pt>
                <c:pt idx="180">
                  <c:v>-1.9867549668874163E-2</c:v>
                </c:pt>
                <c:pt idx="181">
                  <c:v>-5.5378908320084741E-2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1B-7A48-A533-677CE112A23A}"/>
            </c:ext>
          </c:extLst>
        </c:ser>
        <c:ser>
          <c:idx val="1"/>
          <c:order val="1"/>
          <c:tx>
            <c:v>fitted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[1]Regression!$B$3:$B$183</c:f>
              <c:numCache>
                <c:formatCode>0.000%</c:formatCode>
                <c:ptCount val="181"/>
                <c:pt idx="0">
                  <c:v>2.2649578490472999E-2</c:v>
                </c:pt>
                <c:pt idx="1">
                  <c:v>3.195910945579894E-2</c:v>
                </c:pt>
                <c:pt idx="2">
                  <c:v>-1.0529294887435814E-3</c:v>
                </c:pt>
                <c:pt idx="3">
                  <c:v>2.8499571093759002E-2</c:v>
                </c:pt>
                <c:pt idx="4">
                  <c:v>-1.3504480776294292E-2</c:v>
                </c:pt>
                <c:pt idx="5">
                  <c:v>-1.825627029945065E-2</c:v>
                </c:pt>
                <c:pt idx="6">
                  <c:v>-2.1471608161026334E-2</c:v>
                </c:pt>
                <c:pt idx="7">
                  <c:v>-5.6790341241537701E-2</c:v>
                </c:pt>
                <c:pt idx="8">
                  <c:v>-7.1764477077923883E-2</c:v>
                </c:pt>
                <c:pt idx="9">
                  <c:v>0.10771938412454141</c:v>
                </c:pt>
                <c:pt idx="10">
                  <c:v>-5.0556261619931764E-3</c:v>
                </c:pt>
                <c:pt idx="11">
                  <c:v>8.5365504007079984E-3</c:v>
                </c:pt>
                <c:pt idx="12">
                  <c:v>4.3578708271740929E-2</c:v>
                </c:pt>
                <c:pt idx="13">
                  <c:v>4.059183827413726E-2</c:v>
                </c:pt>
                <c:pt idx="14">
                  <c:v>3.1328759140914597E-2</c:v>
                </c:pt>
                <c:pt idx="15">
                  <c:v>-7.4945725482297165E-3</c:v>
                </c:pt>
                <c:pt idx="16">
                  <c:v>-6.2652719835805892E-2</c:v>
                </c:pt>
                <c:pt idx="17">
                  <c:v>3.9554751462240523E-2</c:v>
                </c:pt>
                <c:pt idx="18">
                  <c:v>1.2601447074721328E-2</c:v>
                </c:pt>
                <c:pt idx="19">
                  <c:v>1.9757325811015525E-2</c:v>
                </c:pt>
                <c:pt idx="20">
                  <c:v>2.4242445387785638E-2</c:v>
                </c:pt>
                <c:pt idx="21">
                  <c:v>-1.9793874212047369E-2</c:v>
                </c:pt>
                <c:pt idx="22">
                  <c:v>2.8492542936535692E-3</c:v>
                </c:pt>
                <c:pt idx="23">
                  <c:v>7.0657664069984083E-3</c:v>
                </c:pt>
                <c:pt idx="24">
                  <c:v>5.043020173049606E-2</c:v>
                </c:pt>
                <c:pt idx="25">
                  <c:v>1.1058821970285848E-2</c:v>
                </c:pt>
                <c:pt idx="26">
                  <c:v>3.5986259325691883E-2</c:v>
                </c:pt>
                <c:pt idx="27">
                  <c:v>1.8085682553137694E-2</c:v>
                </c:pt>
                <c:pt idx="28">
                  <c:v>2.0766732418904477E-2</c:v>
                </c:pt>
                <c:pt idx="29">
                  <c:v>-1.5001933320248795E-2</c:v>
                </c:pt>
                <c:pt idx="30">
                  <c:v>4.9460571279654753E-2</c:v>
                </c:pt>
                <c:pt idx="31">
                  <c:v>-3.1294465537713201E-2</c:v>
                </c:pt>
                <c:pt idx="32">
                  <c:v>2.9746704101058397E-2</c:v>
                </c:pt>
                <c:pt idx="33">
                  <c:v>4.4600588960842513E-2</c:v>
                </c:pt>
                <c:pt idx="34">
                  <c:v>2.804827958869982E-2</c:v>
                </c:pt>
                <c:pt idx="35">
                  <c:v>2.3559382769622994E-2</c:v>
                </c:pt>
                <c:pt idx="36">
                  <c:v>-3.5582720880623198E-2</c:v>
                </c:pt>
                <c:pt idx="37">
                  <c:v>4.3118460223648736E-2</c:v>
                </c:pt>
                <c:pt idx="38">
                  <c:v>6.9299048525690576E-3</c:v>
                </c:pt>
                <c:pt idx="39">
                  <c:v>6.2034572293734325E-3</c:v>
                </c:pt>
                <c:pt idx="40">
                  <c:v>2.1031623713360315E-2</c:v>
                </c:pt>
                <c:pt idx="41">
                  <c:v>1.9057548724431106E-2</c:v>
                </c:pt>
                <c:pt idx="42">
                  <c:v>-1.5078511662157346E-2</c:v>
                </c:pt>
                <c:pt idx="43">
                  <c:v>3.7652047716220105E-2</c:v>
                </c:pt>
                <c:pt idx="44">
                  <c:v>-1.55151500505194E-2</c:v>
                </c:pt>
                <c:pt idx="45">
                  <c:v>2.3206258162649318E-2</c:v>
                </c:pt>
                <c:pt idx="46">
                  <c:v>2.4532311268006479E-2</c:v>
                </c:pt>
                <c:pt idx="47">
                  <c:v>-4.1883462182201736E-3</c:v>
                </c:pt>
                <c:pt idx="48">
                  <c:v>-3.1041766456985753E-2</c:v>
                </c:pt>
                <c:pt idx="49">
                  <c:v>5.4893916586232772E-2</c:v>
                </c:pt>
                <c:pt idx="50">
                  <c:v>-1.7398884310388607E-2</c:v>
                </c:pt>
                <c:pt idx="51">
                  <c:v>8.52387508934771E-3</c:v>
                </c:pt>
                <c:pt idx="52">
                  <c:v>1.0489466239135492E-2</c:v>
                </c:pt>
                <c:pt idx="53">
                  <c:v>-2.101070755318124E-2</c:v>
                </c:pt>
                <c:pt idx="54">
                  <c:v>1.9738887770079039E-2</c:v>
                </c:pt>
                <c:pt idx="55">
                  <c:v>-6.2576510789646766E-2</c:v>
                </c:pt>
                <c:pt idx="56">
                  <c:v>-2.6446882672691241E-2</c:v>
                </c:pt>
                <c:pt idx="57">
                  <c:v>8.2984938771496264E-2</c:v>
                </c:pt>
                <c:pt idx="58">
                  <c:v>5.0351609765897365E-4</c:v>
                </c:pt>
                <c:pt idx="59">
                  <c:v>-1.7530208734062636E-2</c:v>
                </c:pt>
                <c:pt idx="60">
                  <c:v>-5.0734045036633701E-2</c:v>
                </c:pt>
                <c:pt idx="61">
                  <c:v>-4.1300480105391779E-3</c:v>
                </c:pt>
                <c:pt idx="62">
                  <c:v>6.599370661088555E-2</c:v>
                </c:pt>
                <c:pt idx="63">
                  <c:v>2.69700118981131E-3</c:v>
                </c:pt>
                <c:pt idx="64">
                  <c:v>1.5333341782454379E-2</c:v>
                </c:pt>
                <c:pt idx="65">
                  <c:v>9.0179481344954127E-4</c:v>
                </c:pt>
                <c:pt idx="66">
                  <c:v>3.5614001594188816E-2</c:v>
                </c:pt>
                <c:pt idx="67">
                  <c:v>-1.2223488580096475E-3</c:v>
                </c:pt>
                <c:pt idx="68">
                  <c:v>-1.2321204097999194E-3</c:v>
                </c:pt>
                <c:pt idx="69">
                  <c:v>-1.9425049470841449E-2</c:v>
                </c:pt>
                <c:pt idx="70">
                  <c:v>3.4173054294655225E-2</c:v>
                </c:pt>
                <c:pt idx="71">
                  <c:v>1.8199036954797077E-2</c:v>
                </c:pt>
                <c:pt idx="72">
                  <c:v>1.7884461192794632E-2</c:v>
                </c:pt>
                <c:pt idx="73">
                  <c:v>3.7198884614172645E-2</c:v>
                </c:pt>
                <c:pt idx="74">
                  <c:v>-3.89220623005615E-4</c:v>
                </c:pt>
                <c:pt idx="75">
                  <c:v>9.090079905042403E-3</c:v>
                </c:pt>
                <c:pt idx="76">
                  <c:v>1.1576989486522526E-2</c:v>
                </c:pt>
                <c:pt idx="77">
                  <c:v>4.8144869756812092E-3</c:v>
                </c:pt>
                <c:pt idx="78">
                  <c:v>1.9349245754665123E-2</c:v>
                </c:pt>
                <c:pt idx="79">
                  <c:v>5.4656627454563456E-4</c:v>
                </c:pt>
                <c:pt idx="80">
                  <c:v>1.9302676329669088E-2</c:v>
                </c:pt>
                <c:pt idx="81">
                  <c:v>2.2189828300208214E-2</c:v>
                </c:pt>
                <c:pt idx="82">
                  <c:v>2.8081044037432834E-2</c:v>
                </c:pt>
                <c:pt idx="83">
                  <c:v>9.8318450742365116E-3</c:v>
                </c:pt>
                <c:pt idx="84">
                  <c:v>5.6178494549969704E-2</c:v>
                </c:pt>
                <c:pt idx="85">
                  <c:v>-3.8947167504676861E-2</c:v>
                </c:pt>
                <c:pt idx="86">
                  <c:v>-2.6886184436862748E-2</c:v>
                </c:pt>
                <c:pt idx="87">
                  <c:v>2.7200828840745483E-3</c:v>
                </c:pt>
                <c:pt idx="88">
                  <c:v>2.1610392796586053E-2</c:v>
                </c:pt>
                <c:pt idx="89">
                  <c:v>4.8419161083466111E-3</c:v>
                </c:pt>
                <c:pt idx="90">
                  <c:v>3.6019762305947056E-2</c:v>
                </c:pt>
                <c:pt idx="91">
                  <c:v>3.0262894579943689E-2</c:v>
                </c:pt>
                <c:pt idx="92">
                  <c:v>4.2944638745812114E-3</c:v>
                </c:pt>
                <c:pt idx="93">
                  <c:v>-6.9401252196493624E-2</c:v>
                </c:pt>
                <c:pt idx="94">
                  <c:v>1.7859296884204179E-2</c:v>
                </c:pt>
                <c:pt idx="95">
                  <c:v>-9.1779377093156755E-2</c:v>
                </c:pt>
                <c:pt idx="96">
                  <c:v>7.8685848280793724E-2</c:v>
                </c:pt>
                <c:pt idx="97">
                  <c:v>2.9729211783815712E-2</c:v>
                </c:pt>
                <c:pt idx="98">
                  <c:v>1.7923726321195987E-2</c:v>
                </c:pt>
                <c:pt idx="99">
                  <c:v>3.9313813986679325E-2</c:v>
                </c:pt>
                <c:pt idx="100">
                  <c:v>-6.5777027995349791E-2</c:v>
                </c:pt>
                <c:pt idx="101">
                  <c:v>6.8929293833237093E-2</c:v>
                </c:pt>
                <c:pt idx="102">
                  <c:v>1.3127586423790971E-2</c:v>
                </c:pt>
                <c:pt idx="103">
                  <c:v>-1.8091903240630258E-2</c:v>
                </c:pt>
                <c:pt idx="104">
                  <c:v>1.7180885878367524E-2</c:v>
                </c:pt>
                <c:pt idx="105">
                  <c:v>2.0434172707484377E-2</c:v>
                </c:pt>
                <c:pt idx="106">
                  <c:v>3.4045760887282395E-2</c:v>
                </c:pt>
                <c:pt idx="107">
                  <c:v>2.8590218480137208E-2</c:v>
                </c:pt>
                <c:pt idx="108">
                  <c:v>-1.6298325630415E-3</c:v>
                </c:pt>
                <c:pt idx="109">
                  <c:v>-8.4108280807849045E-2</c:v>
                </c:pt>
                <c:pt idx="110">
                  <c:v>-0.1251201547093802</c:v>
                </c:pt>
                <c:pt idx="111">
                  <c:v>0.12684397460846775</c:v>
                </c:pt>
                <c:pt idx="112">
                  <c:v>4.5279923106294362E-2</c:v>
                </c:pt>
                <c:pt idx="113">
                  <c:v>1.8388423939773579E-2</c:v>
                </c:pt>
                <c:pt idx="114">
                  <c:v>5.5104528942981901E-2</c:v>
                </c:pt>
                <c:pt idx="115">
                  <c:v>7.006263851522454E-2</c:v>
                </c:pt>
                <c:pt idx="116">
                  <c:v>-3.9227837158300027E-2</c:v>
                </c:pt>
                <c:pt idx="117">
                  <c:v>-2.7665753706911711E-2</c:v>
                </c:pt>
                <c:pt idx="118">
                  <c:v>0.10754701680089429</c:v>
                </c:pt>
                <c:pt idx="119">
                  <c:v>3.7120829823122481E-2</c:v>
                </c:pt>
                <c:pt idx="120">
                  <c:v>-1.1136310777434488E-2</c:v>
                </c:pt>
                <c:pt idx="121">
                  <c:v>2.6090664481449366E-2</c:v>
                </c:pt>
                <c:pt idx="122">
                  <c:v>4.2439281964457898E-2</c:v>
                </c:pt>
                <c:pt idx="123">
                  <c:v>5.242595975007136E-2</c:v>
                </c:pt>
                <c:pt idx="124">
                  <c:v>5.485455831532926E-3</c:v>
                </c:pt>
                <c:pt idx="125">
                  <c:v>2.2213042500697888E-2</c:v>
                </c:pt>
                <c:pt idx="126">
                  <c:v>2.2749835231048232E-2</c:v>
                </c:pt>
                <c:pt idx="127">
                  <c:v>2.8989418612476836E-2</c:v>
                </c:pt>
                <c:pt idx="128">
                  <c:v>-4.7569441768317455E-2</c:v>
                </c:pt>
                <c:pt idx="129">
                  <c:v>6.9143405229559418E-2</c:v>
                </c:pt>
                <c:pt idx="130">
                  <c:v>-8.3326852720162492E-3</c:v>
                </c:pt>
                <c:pt idx="131">
                  <c:v>4.3613184423158868E-2</c:v>
                </c:pt>
                <c:pt idx="132">
                  <c:v>-5.2586187915612426E-2</c:v>
                </c:pt>
                <c:pt idx="133">
                  <c:v>-3.1360190036336055E-2</c:v>
                </c:pt>
                <c:pt idx="134">
                  <c:v>3.5774229488720222E-2</c:v>
                </c:pt>
                <c:pt idx="135">
                  <c:v>-8.7958206365867153E-2</c:v>
                </c:pt>
                <c:pt idx="136">
                  <c:v>5.3575877765332791E-5</c:v>
                </c:pt>
                <c:pt idx="137">
                  <c:v>-8.3918328754959526E-2</c:v>
                </c:pt>
                <c:pt idx="138">
                  <c:v>9.1113834372415381E-2</c:v>
                </c:pt>
                <c:pt idx="139">
                  <c:v>-4.243938128990743E-2</c:v>
                </c:pt>
                <c:pt idx="140">
                  <c:v>-9.3394435089137362E-2</c:v>
                </c:pt>
                <c:pt idx="141">
                  <c:v>7.9861443809644106E-2</c:v>
                </c:pt>
                <c:pt idx="142">
                  <c:v>5.3752726026202291E-2</c:v>
                </c:pt>
                <c:pt idx="143">
                  <c:v>-5.897149067685914E-2</c:v>
                </c:pt>
                <c:pt idx="144">
                  <c:v>6.1754771067835224E-2</c:v>
                </c:pt>
                <c:pt idx="145">
                  <c:v>-2.6112514640123874E-2</c:v>
                </c:pt>
                <c:pt idx="146">
                  <c:v>3.5051290624090514E-2</c:v>
                </c:pt>
                <c:pt idx="147">
                  <c:v>1.4642098118692548E-2</c:v>
                </c:pt>
                <c:pt idx="148">
                  <c:v>2.4808987107580727E-3</c:v>
                </c:pt>
                <c:pt idx="149">
                  <c:v>6.4728982734588048E-2</c:v>
                </c:pt>
                <c:pt idx="150">
                  <c:v>3.1138865858735043E-2</c:v>
                </c:pt>
                <c:pt idx="151">
                  <c:v>-1.7716285687521816E-2</c:v>
                </c:pt>
                <c:pt idx="152">
                  <c:v>-4.8718754745776027E-2</c:v>
                </c:pt>
                <c:pt idx="153">
                  <c:v>-2.1980405260002001E-2</c:v>
                </c:pt>
                <c:pt idx="154">
                  <c:v>8.9178692794205094E-2</c:v>
                </c:pt>
                <c:pt idx="155">
                  <c:v>4.4229350796097355E-2</c:v>
                </c:pt>
                <c:pt idx="156">
                  <c:v>1.5895278093018383E-2</c:v>
                </c:pt>
                <c:pt idx="157">
                  <c:v>5.1721125175185456E-2</c:v>
                </c:pt>
                <c:pt idx="158">
                  <c:v>3.101972951085985E-2</c:v>
                </c:pt>
                <c:pt idx="159">
                  <c:v>-4.161552611494046E-2</c:v>
                </c:pt>
                <c:pt idx="160">
                  <c:v>4.802034799716659E-2</c:v>
                </c:pt>
                <c:pt idx="161">
                  <c:v>3.4670776166343176E-2</c:v>
                </c:pt>
                <c:pt idx="162">
                  <c:v>1.1321199980694585E-2</c:v>
                </c:pt>
                <c:pt idx="163">
                  <c:v>2.2833847758855885E-2</c:v>
                </c:pt>
                <c:pt idx="164">
                  <c:v>2.0198233636761209E-2</c:v>
                </c:pt>
                <c:pt idx="165">
                  <c:v>-9.8979804465961774E-3</c:v>
                </c:pt>
                <c:pt idx="166">
                  <c:v>5.7302510889593705E-2</c:v>
                </c:pt>
                <c:pt idx="167">
                  <c:v>-2.4991239575695712E-2</c:v>
                </c:pt>
                <c:pt idx="168">
                  <c:v>2.7016039635902267E-2</c:v>
                </c:pt>
                <c:pt idx="169">
                  <c:v>-1.4240665110677675E-2</c:v>
                </c:pt>
                <c:pt idx="170">
                  <c:v>-5.7545040285423843E-2</c:v>
                </c:pt>
                <c:pt idx="171">
                  <c:v>-7.6245644475474439E-3</c:v>
                </c:pt>
                <c:pt idx="172">
                  <c:v>6.1522368328896571E-2</c:v>
                </c:pt>
                <c:pt idx="173">
                  <c:v>4.9608046400029027E-2</c:v>
                </c:pt>
                <c:pt idx="174">
                  <c:v>2.16666579329583E-2</c:v>
                </c:pt>
                <c:pt idx="175">
                  <c:v>1.9066189771405284E-2</c:v>
                </c:pt>
                <c:pt idx="176">
                  <c:v>3.532307920480493E-2</c:v>
                </c:pt>
                <c:pt idx="177">
                  <c:v>2.2686795816517558E-2</c:v>
                </c:pt>
                <c:pt idx="178">
                  <c:v>1.2994696931023508E-3</c:v>
                </c:pt>
                <c:pt idx="179">
                  <c:v>-5.230866528792566E-4</c:v>
                </c:pt>
                <c:pt idx="180">
                  <c:v>1.9442280325868699E-2</c:v>
                </c:pt>
              </c:numCache>
            </c:numRef>
          </c:xVal>
          <c:yVal>
            <c:numRef>
              <c:f>[1]Regression!$D$3:$D$183</c:f>
              <c:numCache>
                <c:formatCode>0.00%</c:formatCode>
                <c:ptCount val="181"/>
                <c:pt idx="0">
                  <c:v>2.074483380509767E-2</c:v>
                </c:pt>
                <c:pt idx="1">
                  <c:v>2.8108496702865436E-2</c:v>
                </c:pt>
                <c:pt idx="2">
                  <c:v>1.9965983418204032E-3</c:v>
                </c:pt>
                <c:pt idx="3">
                  <c:v>2.5372067297899613E-2</c:v>
                </c:pt>
                <c:pt idx="4">
                  <c:v>-7.85234319747867E-3</c:v>
                </c:pt>
                <c:pt idx="5">
                  <c:v>-1.1610918827120287E-2</c:v>
                </c:pt>
                <c:pt idx="6">
                  <c:v>-1.4154190255429442E-2</c:v>
                </c:pt>
                <c:pt idx="7">
                  <c:v>-4.2090640045412936E-2</c:v>
                </c:pt>
                <c:pt idx="8">
                  <c:v>-5.3934898246521049E-2</c:v>
                </c:pt>
                <c:pt idx="9">
                  <c:v>8.8033440911199384E-2</c:v>
                </c:pt>
                <c:pt idx="10">
                  <c:v>-1.1694590131211702E-3</c:v>
                </c:pt>
                <c:pt idx="11">
                  <c:v>9.5816955431564186E-3</c:v>
                </c:pt>
                <c:pt idx="12">
                  <c:v>3.72993795740416E-2</c:v>
                </c:pt>
                <c:pt idx="13">
                  <c:v>3.493682190451676E-2</c:v>
                </c:pt>
                <c:pt idx="14">
                  <c:v>2.7609901527276208E-2</c:v>
                </c:pt>
                <c:pt idx="15">
                  <c:v>-3.0986194703844427E-3</c:v>
                </c:pt>
                <c:pt idx="16">
                  <c:v>-4.6727670622792761E-2</c:v>
                </c:pt>
                <c:pt idx="17">
                  <c:v>3.4116505853474879E-2</c:v>
                </c:pt>
                <c:pt idx="18">
                  <c:v>1.2796951922148825E-2</c:v>
                </c:pt>
                <c:pt idx="19">
                  <c:v>1.8457116644478636E-2</c:v>
                </c:pt>
                <c:pt idx="20">
                  <c:v>2.2004761390763405E-2</c:v>
                </c:pt>
                <c:pt idx="21">
                  <c:v>-1.2827134437210865E-2</c:v>
                </c:pt>
                <c:pt idx="22">
                  <c:v>5.0831519013640938E-3</c:v>
                </c:pt>
                <c:pt idx="23">
                  <c:v>8.4183332249635357E-3</c:v>
                </c:pt>
                <c:pt idx="24">
                  <c:v>4.2718781299482589E-2</c:v>
                </c:pt>
                <c:pt idx="25">
                  <c:v>1.1576764644292881E-2</c:v>
                </c:pt>
                <c:pt idx="26">
                  <c:v>3.1293896073803854E-2</c:v>
                </c:pt>
                <c:pt idx="27">
                  <c:v>1.713487844771169E-2</c:v>
                </c:pt>
                <c:pt idx="28">
                  <c:v>1.9255538177739336E-2</c:v>
                </c:pt>
                <c:pt idx="29">
                  <c:v>-9.0367998344623862E-3</c:v>
                </c:pt>
                <c:pt idx="30">
                  <c:v>4.1951821954054822E-2</c:v>
                </c:pt>
                <c:pt idx="31">
                  <c:v>-2.1923884634682315E-2</c:v>
                </c:pt>
                <c:pt idx="32">
                  <c:v>2.635852591634523E-2</c:v>
                </c:pt>
                <c:pt idx="33">
                  <c:v>3.8107667869586179E-2</c:v>
                </c:pt>
                <c:pt idx="34">
                  <c:v>2.501510425386878E-2</c:v>
                </c:pt>
                <c:pt idx="35">
                  <c:v>2.146447178036838E-2</c:v>
                </c:pt>
                <c:pt idx="36">
                  <c:v>-2.5315813495798162E-2</c:v>
                </c:pt>
                <c:pt idx="37">
                  <c:v>3.6935332073890464E-2</c:v>
                </c:pt>
                <c:pt idx="38">
                  <c:v>8.3108693053191747E-3</c:v>
                </c:pt>
                <c:pt idx="39">
                  <c:v>7.7362629765985198E-3</c:v>
                </c:pt>
                <c:pt idx="40">
                  <c:v>1.9465062181063583E-2</c:v>
                </c:pt>
                <c:pt idx="41">
                  <c:v>1.790360620572698E-2</c:v>
                </c:pt>
                <c:pt idx="42">
                  <c:v>-9.0973718543831371E-3</c:v>
                </c:pt>
                <c:pt idx="43">
                  <c:v>3.2611503181245866E-2</c:v>
                </c:pt>
                <c:pt idx="44">
                  <c:v>-9.4427445602797335E-3</c:v>
                </c:pt>
                <c:pt idx="45">
                  <c:v>2.1185156895832752E-2</c:v>
                </c:pt>
                <c:pt idx="46">
                  <c:v>2.2234039819017313E-2</c:v>
                </c:pt>
                <c:pt idx="47">
                  <c:v>-4.8345698275832454E-4</c:v>
                </c:pt>
                <c:pt idx="48">
                  <c:v>-2.172400444179361E-2</c:v>
                </c:pt>
                <c:pt idx="49">
                  <c:v>4.6249495316314101E-2</c:v>
                </c:pt>
                <c:pt idx="50">
                  <c:v>-1.0932742727783253E-2</c:v>
                </c:pt>
                <c:pt idx="51">
                  <c:v>9.5716696116321508E-3</c:v>
                </c:pt>
                <c:pt idx="52">
                  <c:v>1.1126415030685196E-2</c:v>
                </c:pt>
                <c:pt idx="53">
                  <c:v>-1.3789626592857349E-2</c:v>
                </c:pt>
                <c:pt idx="54">
                  <c:v>1.8442532502865358E-2</c:v>
                </c:pt>
                <c:pt idx="55">
                  <c:v>-4.6667390708824336E-2</c:v>
                </c:pt>
                <c:pt idx="56">
                  <c:v>-1.8089538283618083E-2</c:v>
                </c:pt>
                <c:pt idx="57">
                  <c:v>6.8468962504987213E-2</c:v>
                </c:pt>
                <c:pt idx="58">
                  <c:v>3.2277173594889397E-3</c:v>
                </c:pt>
                <c:pt idx="59">
                  <c:v>-1.1036617862822918E-2</c:v>
                </c:pt>
                <c:pt idx="60">
                  <c:v>-3.7300224306097335E-2</c:v>
                </c:pt>
                <c:pt idx="61">
                  <c:v>-4.373442032309968E-4</c:v>
                </c:pt>
                <c:pt idx="62">
                  <c:v>5.5029219266100299E-2</c:v>
                </c:pt>
                <c:pt idx="63">
                  <c:v>4.9627225761908929E-3</c:v>
                </c:pt>
                <c:pt idx="64">
                  <c:v>1.4957828960408686E-2</c:v>
                </c:pt>
                <c:pt idx="65">
                  <c:v>3.54274828997953E-3</c:v>
                </c:pt>
                <c:pt idx="66">
                  <c:v>3.0999447249680914E-2</c:v>
                </c:pt>
                <c:pt idx="67">
                  <c:v>1.862590825407994E-3</c:v>
                </c:pt>
                <c:pt idx="68">
                  <c:v>1.854861712777117E-3</c:v>
                </c:pt>
                <c:pt idx="69">
                  <c:v>-1.2535401043475733E-2</c:v>
                </c:pt>
                <c:pt idx="70">
                  <c:v>2.985968519220086E-2</c:v>
                </c:pt>
                <c:pt idx="71">
                  <c:v>1.7224539635252369E-2</c:v>
                </c:pt>
                <c:pt idx="72">
                  <c:v>1.6975716157912626E-2</c:v>
                </c:pt>
                <c:pt idx="73">
                  <c:v>3.2253059739399771E-2</c:v>
                </c:pt>
                <c:pt idx="74">
                  <c:v>2.5215795001362648E-3</c:v>
                </c:pt>
                <c:pt idx="75">
                  <c:v>1.0019526910716012E-2</c:v>
                </c:pt>
                <c:pt idx="76">
                  <c:v>1.1986625348162071E-2</c:v>
                </c:pt>
                <c:pt idx="77">
                  <c:v>6.6376137791995162E-3</c:v>
                </c:pt>
                <c:pt idx="78">
                  <c:v>1.8134333039003921E-2</c:v>
                </c:pt>
                <c:pt idx="79">
                  <c:v>3.2617692350843225E-3</c:v>
                </c:pt>
                <c:pt idx="80">
                  <c:v>1.8097497504722879E-2</c:v>
                </c:pt>
                <c:pt idx="81">
                  <c:v>2.0381180101070706E-2</c:v>
                </c:pt>
                <c:pt idx="82">
                  <c:v>2.5041020313055832E-2</c:v>
                </c:pt>
                <c:pt idx="83">
                  <c:v>1.0606249128580169E-2</c:v>
                </c:pt>
                <c:pt idx="84">
                  <c:v>4.7265572187006208E-2</c:v>
                </c:pt>
                <c:pt idx="85">
                  <c:v>-2.7977027134738628E-2</c:v>
                </c:pt>
                <c:pt idx="86">
                  <c:v>-1.8437017669400479E-2</c:v>
                </c:pt>
                <c:pt idx="87">
                  <c:v>4.9809797597479243E-3</c:v>
                </c:pt>
                <c:pt idx="88">
                  <c:v>1.9922857578103245E-2</c:v>
                </c:pt>
                <c:pt idx="89">
                  <c:v>6.6593097042980482E-3</c:v>
                </c:pt>
                <c:pt idx="90">
                  <c:v>3.132039629745513E-2</c:v>
                </c:pt>
                <c:pt idx="91">
                  <c:v>2.6766822821066412E-2</c:v>
                </c:pt>
                <c:pt idx="92">
                  <c:v>6.2262853428030306E-3</c:v>
                </c:pt>
                <c:pt idx="93">
                  <c:v>-5.2065632067238257E-2</c:v>
                </c:pt>
                <c:pt idx="94">
                  <c:v>1.6955811665816764E-2</c:v>
                </c:pt>
                <c:pt idx="95">
                  <c:v>-6.9766305563779135E-2</c:v>
                </c:pt>
                <c:pt idx="96">
                  <c:v>6.5068463246921296E-2</c:v>
                </c:pt>
                <c:pt idx="97">
                  <c:v>2.634468982428477E-2</c:v>
                </c:pt>
                <c:pt idx="98">
                  <c:v>1.7006774131752774E-2</c:v>
                </c:pt>
                <c:pt idx="99">
                  <c:v>3.3925928867794303E-2</c:v>
                </c:pt>
                <c:pt idx="100">
                  <c:v>-4.9198939278680506E-2</c:v>
                </c:pt>
                <c:pt idx="101">
                  <c:v>5.7351213230447617E-2</c:v>
                </c:pt>
                <c:pt idx="102">
                  <c:v>1.321311819499651E-2</c:v>
                </c:pt>
                <c:pt idx="103">
                  <c:v>-1.1480907592702682E-2</c:v>
                </c:pt>
                <c:pt idx="104">
                  <c:v>1.6419201392783342E-2</c:v>
                </c:pt>
                <c:pt idx="105">
                  <c:v>1.8992489736588271E-2</c:v>
                </c:pt>
                <c:pt idx="106">
                  <c:v>2.9758998514806158E-2</c:v>
                </c:pt>
                <c:pt idx="107">
                  <c:v>2.5443767665870778E-2</c:v>
                </c:pt>
                <c:pt idx="108">
                  <c:v>1.5402789225458778E-3</c:v>
                </c:pt>
                <c:pt idx="109">
                  <c:v>-6.3698613505853111E-2</c:v>
                </c:pt>
                <c:pt idx="110">
                  <c:v>-9.6138229995818988E-2</c:v>
                </c:pt>
                <c:pt idx="111">
                  <c:v>0.10316063022997517</c:v>
                </c:pt>
                <c:pt idx="112">
                  <c:v>3.8645008328593439E-2</c:v>
                </c:pt>
                <c:pt idx="113">
                  <c:v>1.7374341157991358E-2</c:v>
                </c:pt>
                <c:pt idx="114">
                  <c:v>4.6416085706633581E-2</c:v>
                </c:pt>
                <c:pt idx="115">
                  <c:v>5.824766743595132E-2</c:v>
                </c:pt>
                <c:pt idx="116">
                  <c:v>-2.8199031521706355E-2</c:v>
                </c:pt>
                <c:pt idx="117">
                  <c:v>-1.9053642215951787E-2</c:v>
                </c:pt>
                <c:pt idx="118">
                  <c:v>8.7897101618634038E-2</c:v>
                </c:pt>
                <c:pt idx="119">
                  <c:v>3.2191319876135993E-2</c:v>
                </c:pt>
                <c:pt idx="120">
                  <c:v>-5.9791655238492086E-3</c:v>
                </c:pt>
                <c:pt idx="121">
                  <c:v>2.3466667733590751E-2</c:v>
                </c:pt>
                <c:pt idx="122">
                  <c:v>3.6398114917966976E-2</c:v>
                </c:pt>
                <c:pt idx="123">
                  <c:v>4.4297388141911698E-2</c:v>
                </c:pt>
                <c:pt idx="124">
                  <c:v>7.168337452367942E-3</c:v>
                </c:pt>
                <c:pt idx="125">
                  <c:v>2.0399542094546409E-2</c:v>
                </c:pt>
                <c:pt idx="126">
                  <c:v>2.0824134990471525E-2</c:v>
                </c:pt>
                <c:pt idx="127">
                  <c:v>2.5759527419422484E-2</c:v>
                </c:pt>
                <c:pt idx="128">
                  <c:v>-3.4797082981378721E-2</c:v>
                </c:pt>
                <c:pt idx="129">
                  <c:v>5.7520571294882902E-2</c:v>
                </c:pt>
                <c:pt idx="130">
                  <c:v>-3.761550781454839E-3</c:v>
                </c:pt>
                <c:pt idx="131">
                  <c:v>3.7326649557674466E-2</c:v>
                </c:pt>
                <c:pt idx="132">
                  <c:v>-3.8765234288887909E-2</c:v>
                </c:pt>
                <c:pt idx="133">
                  <c:v>-2.1975871469871552E-2</c:v>
                </c:pt>
                <c:pt idx="134">
                  <c:v>3.11261844834409E-2</c:v>
                </c:pt>
                <c:pt idx="135">
                  <c:v>-6.6743831798411132E-2</c:v>
                </c:pt>
                <c:pt idx="136">
                  <c:v>2.8718231564636132E-3</c:v>
                </c:pt>
                <c:pt idx="137">
                  <c:v>-6.3548365025083556E-2</c:v>
                </c:pt>
                <c:pt idx="138">
                  <c:v>7.4898765161991426E-2</c:v>
                </c:pt>
                <c:pt idx="139">
                  <c:v>-3.0739302181371459E-2</c:v>
                </c:pt>
                <c:pt idx="140">
                  <c:v>-7.1043785888732239E-2</c:v>
                </c:pt>
                <c:pt idx="141">
                  <c:v>6.5998337073091468E-2</c:v>
                </c:pt>
                <c:pt idx="142">
                  <c:v>4.5346835169688224E-2</c:v>
                </c:pt>
                <c:pt idx="143">
                  <c:v>-4.3815887990898583E-2</c:v>
                </c:pt>
                <c:pt idx="144">
                  <c:v>5.167630143375751E-2</c:v>
                </c:pt>
                <c:pt idx="145">
                  <c:v>-1.7825059494645096E-2</c:v>
                </c:pt>
                <c:pt idx="146">
                  <c:v>3.0554353516375445E-2</c:v>
                </c:pt>
                <c:pt idx="147">
                  <c:v>1.4411068297694478E-2</c:v>
                </c:pt>
                <c:pt idx="148">
                  <c:v>4.7917896029780749E-3</c:v>
                </c:pt>
                <c:pt idx="149">
                  <c:v>5.4028846603019862E-2</c:v>
                </c:pt>
                <c:pt idx="150">
                  <c:v>2.7459699533026547E-2</c:v>
                </c:pt>
                <c:pt idx="151">
                  <c:v>-1.118380121324309E-2</c:v>
                </c:pt>
                <c:pt idx="152">
                  <c:v>-3.5706167806549435E-2</c:v>
                </c:pt>
                <c:pt idx="153">
                  <c:v>-1.4556639136492681E-2</c:v>
                </c:pt>
                <c:pt idx="154">
                  <c:v>7.3368104778082824E-2</c:v>
                </c:pt>
                <c:pt idx="155">
                  <c:v>3.7814025503482979E-2</c:v>
                </c:pt>
                <c:pt idx="156">
                  <c:v>1.540230995267571E-2</c:v>
                </c:pt>
                <c:pt idx="157">
                  <c:v>4.3739877325579227E-2</c:v>
                </c:pt>
                <c:pt idx="158">
                  <c:v>2.7365464935398414E-2</c:v>
                </c:pt>
                <c:pt idx="159">
                  <c:v>-3.0087648321726567E-2</c:v>
                </c:pt>
                <c:pt idx="160">
                  <c:v>4.0812632580362454E-2</c:v>
                </c:pt>
                <c:pt idx="161">
                  <c:v>3.0253373777974608E-2</c:v>
                </c:pt>
                <c:pt idx="162">
                  <c:v>1.1784300687476266E-2</c:v>
                </c:pt>
                <c:pt idx="163">
                  <c:v>2.0890587310816028E-2</c:v>
                </c:pt>
                <c:pt idx="164">
                  <c:v>1.880586639458651E-2</c:v>
                </c:pt>
                <c:pt idx="165">
                  <c:v>-4.9996696559759888E-3</c:v>
                </c:pt>
                <c:pt idx="166">
                  <c:v>4.8154647850152069E-2</c:v>
                </c:pt>
                <c:pt idx="167">
                  <c:v>-1.693815212832616E-2</c:v>
                </c:pt>
                <c:pt idx="168">
                  <c:v>2.4198621976692876E-2</c:v>
                </c:pt>
                <c:pt idx="169">
                  <c:v>-8.4346510805726471E-3</c:v>
                </c:pt>
                <c:pt idx="170">
                  <c:v>-4.2687592713505876E-2</c:v>
                </c:pt>
                <c:pt idx="171">
                  <c:v>-3.2014406038638355E-3</c:v>
                </c:pt>
                <c:pt idx="172">
                  <c:v>5.1492475263305304E-2</c:v>
                </c:pt>
                <c:pt idx="173">
                  <c:v>4.2068471984683498E-2</c:v>
                </c:pt>
                <c:pt idx="174">
                  <c:v>1.9967362236682214E-2</c:v>
                </c:pt>
                <c:pt idx="175">
                  <c:v>1.7910441110432555E-2</c:v>
                </c:pt>
                <c:pt idx="176">
                  <c:v>3.0769333142663592E-2</c:v>
                </c:pt>
                <c:pt idx="177">
                  <c:v>2.0774272006009099E-2</c:v>
                </c:pt>
                <c:pt idx="178">
                  <c:v>3.8573015975071055E-3</c:v>
                </c:pt>
                <c:pt idx="179">
                  <c:v>2.4156940026688321E-3</c:v>
                </c:pt>
                <c:pt idx="180">
                  <c:v>1.8207921625016804E-2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1B-7A48-A533-677CE112A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755855"/>
        <c:axId val="2129753823"/>
      </c:scatterChart>
      <c:valAx>
        <c:axId val="209575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753823"/>
        <c:crosses val="autoZero"/>
        <c:crossBetween val="midCat"/>
      </c:valAx>
      <c:valAx>
        <c:axId val="212975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55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[2]Sheet2!$W$48:$W$173</c:f>
              <c:numCache>
                <c:formatCode>General</c:formatCode>
                <c:ptCount val="126"/>
                <c:pt idx="0">
                  <c:v>0.3968253968253968</c:v>
                </c:pt>
                <c:pt idx="1">
                  <c:v>1.1904761904761905</c:v>
                </c:pt>
                <c:pt idx="2">
                  <c:v>1.984126984126984</c:v>
                </c:pt>
                <c:pt idx="3">
                  <c:v>2.7777777777777777</c:v>
                </c:pt>
                <c:pt idx="4">
                  <c:v>3.5714285714285712</c:v>
                </c:pt>
                <c:pt idx="5">
                  <c:v>4.3650793650793647</c:v>
                </c:pt>
                <c:pt idx="6">
                  <c:v>5.1587301587301591</c:v>
                </c:pt>
                <c:pt idx="7">
                  <c:v>5.9523809523809526</c:v>
                </c:pt>
                <c:pt idx="8">
                  <c:v>6.746031746031746</c:v>
                </c:pt>
                <c:pt idx="9">
                  <c:v>7.5396825396825395</c:v>
                </c:pt>
                <c:pt idx="10">
                  <c:v>8.3333333333333321</c:v>
                </c:pt>
                <c:pt idx="11">
                  <c:v>9.1269841269841265</c:v>
                </c:pt>
                <c:pt idx="12">
                  <c:v>9.9206349206349209</c:v>
                </c:pt>
                <c:pt idx="13">
                  <c:v>10.714285714285714</c:v>
                </c:pt>
                <c:pt idx="14">
                  <c:v>11.507936507936508</c:v>
                </c:pt>
                <c:pt idx="15">
                  <c:v>12.301587301587301</c:v>
                </c:pt>
                <c:pt idx="16">
                  <c:v>13.095238095238095</c:v>
                </c:pt>
                <c:pt idx="17">
                  <c:v>13.888888888888889</c:v>
                </c:pt>
                <c:pt idx="18">
                  <c:v>14.682539682539682</c:v>
                </c:pt>
                <c:pt idx="19">
                  <c:v>15.476190476190476</c:v>
                </c:pt>
                <c:pt idx="20">
                  <c:v>16.269841269841269</c:v>
                </c:pt>
                <c:pt idx="21">
                  <c:v>17.06349206349206</c:v>
                </c:pt>
                <c:pt idx="22">
                  <c:v>17.857142857142854</c:v>
                </c:pt>
                <c:pt idx="23">
                  <c:v>18.650793650793648</c:v>
                </c:pt>
                <c:pt idx="24">
                  <c:v>19.444444444444443</c:v>
                </c:pt>
                <c:pt idx="25">
                  <c:v>20.238095238095237</c:v>
                </c:pt>
                <c:pt idx="26">
                  <c:v>21.031746031746028</c:v>
                </c:pt>
                <c:pt idx="27">
                  <c:v>21.825396825396822</c:v>
                </c:pt>
                <c:pt idx="28">
                  <c:v>22.619047619047617</c:v>
                </c:pt>
                <c:pt idx="29">
                  <c:v>23.412698412698411</c:v>
                </c:pt>
                <c:pt idx="30">
                  <c:v>24.206349206349202</c:v>
                </c:pt>
                <c:pt idx="31">
                  <c:v>24.999999999999996</c:v>
                </c:pt>
                <c:pt idx="32">
                  <c:v>25.793650793650791</c:v>
                </c:pt>
                <c:pt idx="33">
                  <c:v>26.587301587301585</c:v>
                </c:pt>
                <c:pt idx="34">
                  <c:v>27.38095238095238</c:v>
                </c:pt>
                <c:pt idx="35">
                  <c:v>28.17460317460317</c:v>
                </c:pt>
                <c:pt idx="36">
                  <c:v>28.968253968253965</c:v>
                </c:pt>
                <c:pt idx="37">
                  <c:v>29.761904761904759</c:v>
                </c:pt>
                <c:pt idx="38">
                  <c:v>30.555555555555554</c:v>
                </c:pt>
                <c:pt idx="39">
                  <c:v>31.349206349206344</c:v>
                </c:pt>
                <c:pt idx="40">
                  <c:v>32.142857142857139</c:v>
                </c:pt>
                <c:pt idx="41">
                  <c:v>32.936507936507937</c:v>
                </c:pt>
                <c:pt idx="42">
                  <c:v>33.730158730158728</c:v>
                </c:pt>
                <c:pt idx="43">
                  <c:v>34.523809523809526</c:v>
                </c:pt>
                <c:pt idx="44">
                  <c:v>35.317460317460316</c:v>
                </c:pt>
                <c:pt idx="45">
                  <c:v>36.111111111111114</c:v>
                </c:pt>
                <c:pt idx="46">
                  <c:v>36.904761904761905</c:v>
                </c:pt>
                <c:pt idx="47">
                  <c:v>37.698412698412696</c:v>
                </c:pt>
                <c:pt idx="48">
                  <c:v>38.492063492063494</c:v>
                </c:pt>
                <c:pt idx="49">
                  <c:v>39.285714285714285</c:v>
                </c:pt>
                <c:pt idx="50">
                  <c:v>40.079365079365083</c:v>
                </c:pt>
                <c:pt idx="51">
                  <c:v>40.873015873015873</c:v>
                </c:pt>
                <c:pt idx="52">
                  <c:v>41.666666666666664</c:v>
                </c:pt>
                <c:pt idx="53">
                  <c:v>42.460317460317462</c:v>
                </c:pt>
                <c:pt idx="54">
                  <c:v>43.253968253968253</c:v>
                </c:pt>
                <c:pt idx="55">
                  <c:v>44.047619047619044</c:v>
                </c:pt>
                <c:pt idx="56">
                  <c:v>44.841269841269842</c:v>
                </c:pt>
                <c:pt idx="57">
                  <c:v>45.634920634920633</c:v>
                </c:pt>
                <c:pt idx="58">
                  <c:v>46.428571428571431</c:v>
                </c:pt>
                <c:pt idx="59">
                  <c:v>47.222222222222221</c:v>
                </c:pt>
                <c:pt idx="60">
                  <c:v>48.015873015873012</c:v>
                </c:pt>
                <c:pt idx="61">
                  <c:v>48.80952380952381</c:v>
                </c:pt>
                <c:pt idx="62">
                  <c:v>49.603174603174601</c:v>
                </c:pt>
                <c:pt idx="63">
                  <c:v>50.396825396825399</c:v>
                </c:pt>
                <c:pt idx="64">
                  <c:v>51.19047619047619</c:v>
                </c:pt>
                <c:pt idx="65">
                  <c:v>51.984126984126981</c:v>
                </c:pt>
                <c:pt idx="66">
                  <c:v>52.777777777777779</c:v>
                </c:pt>
                <c:pt idx="67">
                  <c:v>53.571428571428569</c:v>
                </c:pt>
                <c:pt idx="68">
                  <c:v>54.365079365079367</c:v>
                </c:pt>
                <c:pt idx="69">
                  <c:v>55.158730158730158</c:v>
                </c:pt>
                <c:pt idx="70">
                  <c:v>55.952380952380949</c:v>
                </c:pt>
                <c:pt idx="71">
                  <c:v>56.746031746031747</c:v>
                </c:pt>
                <c:pt idx="72">
                  <c:v>57.539682539682538</c:v>
                </c:pt>
                <c:pt idx="73">
                  <c:v>58.333333333333336</c:v>
                </c:pt>
                <c:pt idx="74">
                  <c:v>59.126984126984127</c:v>
                </c:pt>
                <c:pt idx="75">
                  <c:v>59.920634920634917</c:v>
                </c:pt>
                <c:pt idx="76">
                  <c:v>60.714285714285715</c:v>
                </c:pt>
                <c:pt idx="77">
                  <c:v>61.507936507936506</c:v>
                </c:pt>
                <c:pt idx="78">
                  <c:v>62.301587301587297</c:v>
                </c:pt>
                <c:pt idx="79">
                  <c:v>63.095238095238095</c:v>
                </c:pt>
                <c:pt idx="80">
                  <c:v>63.888888888888886</c:v>
                </c:pt>
                <c:pt idx="81">
                  <c:v>64.682539682539669</c:v>
                </c:pt>
                <c:pt idx="82">
                  <c:v>65.476190476190467</c:v>
                </c:pt>
                <c:pt idx="83">
                  <c:v>66.269841269841265</c:v>
                </c:pt>
                <c:pt idx="84">
                  <c:v>67.063492063492049</c:v>
                </c:pt>
                <c:pt idx="85">
                  <c:v>67.857142857142847</c:v>
                </c:pt>
                <c:pt idx="86">
                  <c:v>68.650793650793645</c:v>
                </c:pt>
                <c:pt idx="87">
                  <c:v>69.444444444444429</c:v>
                </c:pt>
                <c:pt idx="88">
                  <c:v>70.238095238095227</c:v>
                </c:pt>
                <c:pt idx="89">
                  <c:v>71.031746031746025</c:v>
                </c:pt>
                <c:pt idx="90">
                  <c:v>71.825396825396822</c:v>
                </c:pt>
                <c:pt idx="91">
                  <c:v>72.619047619047606</c:v>
                </c:pt>
                <c:pt idx="92">
                  <c:v>73.412698412698404</c:v>
                </c:pt>
                <c:pt idx="93">
                  <c:v>74.206349206349202</c:v>
                </c:pt>
                <c:pt idx="94">
                  <c:v>74.999999999999986</c:v>
                </c:pt>
                <c:pt idx="95">
                  <c:v>75.793650793650784</c:v>
                </c:pt>
                <c:pt idx="96">
                  <c:v>76.587301587301582</c:v>
                </c:pt>
                <c:pt idx="97">
                  <c:v>77.380952380952365</c:v>
                </c:pt>
                <c:pt idx="98">
                  <c:v>78.174603174603163</c:v>
                </c:pt>
                <c:pt idx="99">
                  <c:v>78.968253968253961</c:v>
                </c:pt>
                <c:pt idx="100">
                  <c:v>79.761904761904759</c:v>
                </c:pt>
                <c:pt idx="101">
                  <c:v>80.555555555555543</c:v>
                </c:pt>
                <c:pt idx="102">
                  <c:v>81.349206349206341</c:v>
                </c:pt>
                <c:pt idx="103">
                  <c:v>82.142857142857139</c:v>
                </c:pt>
                <c:pt idx="104">
                  <c:v>82.936507936507923</c:v>
                </c:pt>
                <c:pt idx="105">
                  <c:v>83.73015873015872</c:v>
                </c:pt>
                <c:pt idx="106">
                  <c:v>84.523809523809518</c:v>
                </c:pt>
                <c:pt idx="107">
                  <c:v>85.317460317460302</c:v>
                </c:pt>
                <c:pt idx="108">
                  <c:v>86.1111111111111</c:v>
                </c:pt>
                <c:pt idx="109">
                  <c:v>86.904761904761898</c:v>
                </c:pt>
                <c:pt idx="110">
                  <c:v>87.698412698412682</c:v>
                </c:pt>
                <c:pt idx="111">
                  <c:v>88.49206349206348</c:v>
                </c:pt>
                <c:pt idx="112">
                  <c:v>89.285714285714278</c:v>
                </c:pt>
                <c:pt idx="113">
                  <c:v>90.079365079365076</c:v>
                </c:pt>
                <c:pt idx="114">
                  <c:v>90.873015873015859</c:v>
                </c:pt>
                <c:pt idx="115">
                  <c:v>91.666666666666657</c:v>
                </c:pt>
                <c:pt idx="116">
                  <c:v>92.460317460317455</c:v>
                </c:pt>
                <c:pt idx="117">
                  <c:v>93.253968253968239</c:v>
                </c:pt>
                <c:pt idx="118">
                  <c:v>94.047619047619037</c:v>
                </c:pt>
                <c:pt idx="119">
                  <c:v>94.841269841269835</c:v>
                </c:pt>
                <c:pt idx="120">
                  <c:v>95.634920634920618</c:v>
                </c:pt>
                <c:pt idx="121">
                  <c:v>96.428571428571416</c:v>
                </c:pt>
                <c:pt idx="122">
                  <c:v>97.222222222222214</c:v>
                </c:pt>
                <c:pt idx="123">
                  <c:v>98.015873015873012</c:v>
                </c:pt>
                <c:pt idx="124">
                  <c:v>98.809523809523796</c:v>
                </c:pt>
                <c:pt idx="125">
                  <c:v>99.603174603174594</c:v>
                </c:pt>
              </c:numCache>
            </c:numRef>
          </c:xVal>
          <c:yVal>
            <c:numRef>
              <c:f>[2]Sheet2!$X$48:$X$173</c:f>
              <c:numCache>
                <c:formatCode>General</c:formatCode>
                <c:ptCount val="126"/>
                <c:pt idx="0">
                  <c:v>-0.3202741332551492</c:v>
                </c:pt>
                <c:pt idx="1">
                  <c:v>-0.25160220994475146</c:v>
                </c:pt>
                <c:pt idx="2">
                  <c:v>-0.24976869973667359</c:v>
                </c:pt>
                <c:pt idx="3">
                  <c:v>-0.2248256889436987</c:v>
                </c:pt>
                <c:pt idx="4">
                  <c:v>-0.19577315489598512</c:v>
                </c:pt>
                <c:pt idx="5">
                  <c:v>-0.18814267352185088</c:v>
                </c:pt>
                <c:pt idx="6">
                  <c:v>-0.18313651104448392</c:v>
                </c:pt>
                <c:pt idx="7">
                  <c:v>-0.16896988382976386</c:v>
                </c:pt>
                <c:pt idx="8">
                  <c:v>-0.16745435381319917</c:v>
                </c:pt>
                <c:pt idx="9">
                  <c:v>-0.13644152927967845</c:v>
                </c:pt>
                <c:pt idx="10">
                  <c:v>-0.11865059264512201</c:v>
                </c:pt>
                <c:pt idx="11">
                  <c:v>-0.11134708737864074</c:v>
                </c:pt>
                <c:pt idx="12">
                  <c:v>-9.9920430897294632E-2</c:v>
                </c:pt>
                <c:pt idx="13">
                  <c:v>-9.1278807049254396E-2</c:v>
                </c:pt>
                <c:pt idx="14">
                  <c:v>-7.4558856377038185E-2</c:v>
                </c:pt>
                <c:pt idx="15">
                  <c:v>-7.3648423931118479E-2</c:v>
                </c:pt>
                <c:pt idx="16">
                  <c:v>-7.0525737314526382E-2</c:v>
                </c:pt>
                <c:pt idx="17">
                  <c:v>-6.2507184073197108E-2</c:v>
                </c:pt>
                <c:pt idx="18">
                  <c:v>-6.0628890915579547E-2</c:v>
                </c:pt>
                <c:pt idx="19">
                  <c:v>-5.6094929881337685E-2</c:v>
                </c:pt>
                <c:pt idx="20">
                  <c:v>-5.2776428687065002E-2</c:v>
                </c:pt>
                <c:pt idx="21">
                  <c:v>-5.1450589301903937E-2</c:v>
                </c:pt>
                <c:pt idx="22">
                  <c:v>-5.1413881748072043E-2</c:v>
                </c:pt>
                <c:pt idx="23">
                  <c:v>-4.3872198378636207E-2</c:v>
                </c:pt>
                <c:pt idx="24">
                  <c:v>-4.3760237283633541E-2</c:v>
                </c:pt>
                <c:pt idx="25">
                  <c:v>-4.3016528925619801E-2</c:v>
                </c:pt>
                <c:pt idx="26">
                  <c:v>-4.2504360598549562E-2</c:v>
                </c:pt>
                <c:pt idx="27">
                  <c:v>-4.2144638403989965E-2</c:v>
                </c:pt>
                <c:pt idx="28">
                  <c:v>-3.5922475212993854E-2</c:v>
                </c:pt>
                <c:pt idx="29">
                  <c:v>-2.9495672356269043E-2</c:v>
                </c:pt>
                <c:pt idx="30">
                  <c:v>-2.8887257653611997E-2</c:v>
                </c:pt>
                <c:pt idx="31">
                  <c:v>-2.6705311896168205E-2</c:v>
                </c:pt>
                <c:pt idx="32">
                  <c:v>-2.5855314703578047E-2</c:v>
                </c:pt>
                <c:pt idx="33">
                  <c:v>-2.5571273122959814E-2</c:v>
                </c:pt>
                <c:pt idx="34">
                  <c:v>-2.5171853518310305E-2</c:v>
                </c:pt>
                <c:pt idx="35">
                  <c:v>-2.4210526315789349E-2</c:v>
                </c:pt>
                <c:pt idx="36">
                  <c:v>-2.3956751953197353E-2</c:v>
                </c:pt>
                <c:pt idx="37">
                  <c:v>-1.5459723352318933E-2</c:v>
                </c:pt>
                <c:pt idx="38">
                  <c:v>-7.9562406762804239E-3</c:v>
                </c:pt>
                <c:pt idx="39">
                  <c:v>-7.1716453295399551E-3</c:v>
                </c:pt>
                <c:pt idx="40">
                  <c:v>-4.9980850248946274E-3</c:v>
                </c:pt>
                <c:pt idx="41">
                  <c:v>-4.1248060115984808E-3</c:v>
                </c:pt>
                <c:pt idx="42">
                  <c:v>-2.9285875197115896E-3</c:v>
                </c:pt>
                <c:pt idx="43">
                  <c:v>-2.806623631771088E-3</c:v>
                </c:pt>
                <c:pt idx="44">
                  <c:v>-1.0080282247904027E-3</c:v>
                </c:pt>
                <c:pt idx="45">
                  <c:v>1.2113438791505615E-3</c:v>
                </c:pt>
                <c:pt idx="46">
                  <c:v>1.4547973675094195E-3</c:v>
                </c:pt>
                <c:pt idx="47">
                  <c:v>4.8023799405014778E-3</c:v>
                </c:pt>
                <c:pt idx="48">
                  <c:v>6.2071917808219634E-3</c:v>
                </c:pt>
                <c:pt idx="49">
                  <c:v>6.7396344422279153E-3</c:v>
                </c:pt>
                <c:pt idx="50">
                  <c:v>8.0196034751616185E-3</c:v>
                </c:pt>
                <c:pt idx="51">
                  <c:v>1.1663987438782719E-2</c:v>
                </c:pt>
                <c:pt idx="52">
                  <c:v>2.008203725858837E-2</c:v>
                </c:pt>
                <c:pt idx="53">
                  <c:v>2.2859284242083611E-2</c:v>
                </c:pt>
                <c:pt idx="54">
                  <c:v>2.7339706509164063E-2</c:v>
                </c:pt>
                <c:pt idx="55">
                  <c:v>2.8695181375202994E-2</c:v>
                </c:pt>
                <c:pt idx="56">
                  <c:v>3.1267448352875427E-2</c:v>
                </c:pt>
                <c:pt idx="57">
                  <c:v>3.3600675390460077E-2</c:v>
                </c:pt>
                <c:pt idx="58">
                  <c:v>3.8528896672504365E-2</c:v>
                </c:pt>
                <c:pt idx="59">
                  <c:v>3.9092055485498101E-2</c:v>
                </c:pt>
                <c:pt idx="60">
                  <c:v>3.9161841084114357E-2</c:v>
                </c:pt>
                <c:pt idx="61">
                  <c:v>4.2643529628945798E-2</c:v>
                </c:pt>
                <c:pt idx="62">
                  <c:v>5.506373937677056E-2</c:v>
                </c:pt>
                <c:pt idx="63">
                  <c:v>5.5793991416308808E-2</c:v>
                </c:pt>
                <c:pt idx="64">
                  <c:v>5.6196366282180277E-2</c:v>
                </c:pt>
                <c:pt idx="65">
                  <c:v>5.8841137481291383E-2</c:v>
                </c:pt>
                <c:pt idx="66">
                  <c:v>5.9078590785907936E-2</c:v>
                </c:pt>
                <c:pt idx="67">
                  <c:v>6.0692951015531849E-2</c:v>
                </c:pt>
                <c:pt idx="68">
                  <c:v>6.9211744056167257E-2</c:v>
                </c:pt>
                <c:pt idx="69">
                  <c:v>7.0108726268942601E-2</c:v>
                </c:pt>
                <c:pt idx="70">
                  <c:v>7.0672584499829494E-2</c:v>
                </c:pt>
                <c:pt idx="71">
                  <c:v>7.3113043478260975E-2</c:v>
                </c:pt>
                <c:pt idx="72">
                  <c:v>7.3183213920163803E-2</c:v>
                </c:pt>
                <c:pt idx="73">
                  <c:v>7.3413480488766281E-2</c:v>
                </c:pt>
                <c:pt idx="74">
                  <c:v>7.4255691768826626E-2</c:v>
                </c:pt>
                <c:pt idx="75">
                  <c:v>7.6779026217228541E-2</c:v>
                </c:pt>
                <c:pt idx="76">
                  <c:v>7.8201174012536123E-2</c:v>
                </c:pt>
                <c:pt idx="77">
                  <c:v>8.2281221892801293E-2</c:v>
                </c:pt>
                <c:pt idx="78">
                  <c:v>8.5632555135185084E-2</c:v>
                </c:pt>
                <c:pt idx="79">
                  <c:v>9.6530249110320154E-2</c:v>
                </c:pt>
                <c:pt idx="80">
                  <c:v>0.10465226230438285</c:v>
                </c:pt>
                <c:pt idx="81">
                  <c:v>0.10880121396054632</c:v>
                </c:pt>
                <c:pt idx="82">
                  <c:v>0.11142857142857143</c:v>
                </c:pt>
                <c:pt idx="83">
                  <c:v>0.11187082955762429</c:v>
                </c:pt>
                <c:pt idx="84">
                  <c:v>0.11705249429409847</c:v>
                </c:pt>
                <c:pt idx="85">
                  <c:v>0.11760680161090797</c:v>
                </c:pt>
                <c:pt idx="86">
                  <c:v>0.11808248149453648</c:v>
                </c:pt>
                <c:pt idx="87">
                  <c:v>0.11809483533329801</c:v>
                </c:pt>
                <c:pt idx="88">
                  <c:v>0.11896657781423015</c:v>
                </c:pt>
                <c:pt idx="89">
                  <c:v>0.12134281903068045</c:v>
                </c:pt>
                <c:pt idx="90">
                  <c:v>0.12416989485334828</c:v>
                </c:pt>
                <c:pt idx="91">
                  <c:v>0.12445451650965467</c:v>
                </c:pt>
                <c:pt idx="92">
                  <c:v>0.12681704260651627</c:v>
                </c:pt>
                <c:pt idx="93">
                  <c:v>0.12685049209635801</c:v>
                </c:pt>
                <c:pt idx="94">
                  <c:v>0.13616071428571419</c:v>
                </c:pt>
                <c:pt idx="95">
                  <c:v>0.14212761654363426</c:v>
                </c:pt>
                <c:pt idx="96">
                  <c:v>0.14228312819862121</c:v>
                </c:pt>
                <c:pt idx="97">
                  <c:v>0.14628767458956138</c:v>
                </c:pt>
                <c:pt idx="98">
                  <c:v>0.14688572829818547</c:v>
                </c:pt>
                <c:pt idx="99">
                  <c:v>0.14800759013282749</c:v>
                </c:pt>
                <c:pt idx="100">
                  <c:v>0.14865920333246541</c:v>
                </c:pt>
                <c:pt idx="101">
                  <c:v>0.15091277890466537</c:v>
                </c:pt>
                <c:pt idx="102">
                  <c:v>0.15482277244786591</c:v>
                </c:pt>
                <c:pt idx="103">
                  <c:v>0.15684958326341114</c:v>
                </c:pt>
                <c:pt idx="104">
                  <c:v>0.15770065075921891</c:v>
                </c:pt>
                <c:pt idx="105">
                  <c:v>0.1640088162841955</c:v>
                </c:pt>
                <c:pt idx="106">
                  <c:v>0.18830936172390866</c:v>
                </c:pt>
                <c:pt idx="107">
                  <c:v>0.19645933838731899</c:v>
                </c:pt>
                <c:pt idx="108">
                  <c:v>0.19816610594366368</c:v>
                </c:pt>
                <c:pt idx="109">
                  <c:v>0.21238742064077942</c:v>
                </c:pt>
                <c:pt idx="110">
                  <c:v>0.21463518400340353</c:v>
                </c:pt>
                <c:pt idx="111">
                  <c:v>0.21465717804844675</c:v>
                </c:pt>
                <c:pt idx="112">
                  <c:v>0.23133983809904901</c:v>
                </c:pt>
                <c:pt idx="113">
                  <c:v>0.23416682757289053</c:v>
                </c:pt>
                <c:pt idx="114">
                  <c:v>0.24241751140907075</c:v>
                </c:pt>
                <c:pt idx="115">
                  <c:v>0.25383418537452762</c:v>
                </c:pt>
                <c:pt idx="116">
                  <c:v>0.25999199227490033</c:v>
                </c:pt>
                <c:pt idx="117">
                  <c:v>0.2688710909469687</c:v>
                </c:pt>
                <c:pt idx="118">
                  <c:v>0.27028423772609811</c:v>
                </c:pt>
                <c:pt idx="119">
                  <c:v>0.27805374115070225</c:v>
                </c:pt>
                <c:pt idx="120">
                  <c:v>0.2858094820160253</c:v>
                </c:pt>
                <c:pt idx="121">
                  <c:v>0.29567172568858924</c:v>
                </c:pt>
                <c:pt idx="122">
                  <c:v>0.31494511680270199</c:v>
                </c:pt>
                <c:pt idx="123">
                  <c:v>0.33686875598740929</c:v>
                </c:pt>
                <c:pt idx="124">
                  <c:v>0.36343652023496364</c:v>
                </c:pt>
                <c:pt idx="125">
                  <c:v>0.38398849472674979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2-9343-8296-680E282DC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78144"/>
        <c:axId val="873691136"/>
      </c:scatterChart>
      <c:valAx>
        <c:axId val="873678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3691136"/>
        <c:crosses val="autoZero"/>
        <c:crossBetween val="midCat"/>
      </c:valAx>
      <c:valAx>
        <c:axId val="873691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0.170700636942675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36781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142875</xdr:colOff>
      <xdr:row>1</xdr:row>
      <xdr:rowOff>0</xdr:rowOff>
    </xdr:from>
    <xdr:to>
      <xdr:col>21</xdr:col>
      <xdr:colOff>447675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E81040-F86B-4C42-B979-69E17581E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571500</xdr:colOff>
      <xdr:row>24</xdr:row>
      <xdr:rowOff>76200</xdr:rowOff>
    </xdr:from>
    <xdr:to>
      <xdr:col>26</xdr:col>
      <xdr:colOff>571500</xdr:colOff>
      <xdr:row>34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75DB8D-2A35-5342-886D-7EB5480342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epikanath/Downloads/OLS%20Regression%20Data%20Class%20Work.xlsx" TargetMode="External"/><Relationship Id="rId1" Type="http://schemas.openxmlformats.org/officeDocument/2006/relationships/externalLinkPath" Target="/Users/deepikanath/Downloads/OLS%20Regression%20Data%20Class%20Wor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epikanath/Downloads/Homework%202%20Data.xlsx" TargetMode="External"/><Relationship Id="rId1" Type="http://schemas.openxmlformats.org/officeDocument/2006/relationships/externalLinkPath" Target="/Users/deepikanath/Downloads/Homework%202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 Returns"/>
      <sheetName val="BRK.A"/>
      <sheetName val="NVDA"/>
      <sheetName val="MSFT"/>
      <sheetName val="S&amp;P500"/>
      <sheetName val="Regression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BRKA</v>
          </cell>
        </row>
        <row r="3">
          <cell r="B3">
            <v>2.2649578490472999E-2</v>
          </cell>
          <cell r="C3">
            <v>1.6396845163968443E-2</v>
          </cell>
          <cell r="D3">
            <v>2.074483380509767E-2</v>
          </cell>
        </row>
        <row r="4">
          <cell r="B4">
            <v>3.195910945579894E-2</v>
          </cell>
          <cell r="C4">
            <v>7.2493363283643086E-2</v>
          </cell>
          <cell r="D4">
            <v>2.8108496702865436E-2</v>
          </cell>
        </row>
        <row r="5">
          <cell r="B5">
            <v>-1.0529294887435814E-3</v>
          </cell>
          <cell r="C5">
            <v>-4.5696877380045686E-2</v>
          </cell>
          <cell r="D5">
            <v>1.9965983418204032E-3</v>
          </cell>
        </row>
        <row r="6">
          <cell r="B6">
            <v>2.8499571093759002E-2</v>
          </cell>
          <cell r="C6">
            <v>-4.3894652833200709E-3</v>
          </cell>
          <cell r="D6">
            <v>2.5372067297899613E-2</v>
          </cell>
        </row>
        <row r="7">
          <cell r="B7">
            <v>-1.3504480776294292E-2</v>
          </cell>
          <cell r="C7">
            <v>-4.7895791583166369E-2</v>
          </cell>
          <cell r="D7">
            <v>-7.85234319747867E-3</v>
          </cell>
        </row>
        <row r="8">
          <cell r="B8">
            <v>-1.825627029945065E-2</v>
          </cell>
          <cell r="C8">
            <v>-2.2479478004630571E-2</v>
          </cell>
          <cell r="D8">
            <v>-1.1610918827120287E-2</v>
          </cell>
        </row>
        <row r="9">
          <cell r="B9">
            <v>-2.1471608161026334E-2</v>
          </cell>
          <cell r="C9">
            <v>-3.9662374574738424E-2</v>
          </cell>
          <cell r="D9">
            <v>-1.4154190255429442E-2</v>
          </cell>
        </row>
        <row r="10">
          <cell r="B10">
            <v>-5.6790341241537701E-2</v>
          </cell>
          <cell r="C10">
            <v>-1.5524663677130013E-2</v>
          </cell>
          <cell r="D10">
            <v>-4.2090640045412936E-2</v>
          </cell>
        </row>
        <row r="11">
          <cell r="B11">
            <v>-7.1764477077923883E-2</v>
          </cell>
          <cell r="C11">
            <v>-2.7047709280397902E-2</v>
          </cell>
          <cell r="D11">
            <v>-5.3934898246521049E-2</v>
          </cell>
        </row>
        <row r="12">
          <cell r="B12">
            <v>0.10771938412454141</v>
          </cell>
          <cell r="C12">
            <v>9.5037453183520526E-2</v>
          </cell>
          <cell r="D12">
            <v>8.8033440911199384E-2</v>
          </cell>
        </row>
        <row r="13">
          <cell r="B13">
            <v>-5.0556261619931764E-3</v>
          </cell>
          <cell r="C13">
            <v>1.3253527148354038E-2</v>
          </cell>
          <cell r="D13">
            <v>-1.1694590131211702E-3</v>
          </cell>
        </row>
        <row r="14">
          <cell r="B14">
            <v>8.5365504007079984E-3</v>
          </cell>
          <cell r="C14">
            <v>-3.1603375527426203E-2</v>
          </cell>
          <cell r="D14">
            <v>9.5816955431564186E-3</v>
          </cell>
        </row>
        <row r="15">
          <cell r="B15">
            <v>4.3578708271740929E-2</v>
          </cell>
          <cell r="C15">
            <v>2.7624068668031798E-2</v>
          </cell>
          <cell r="D15">
            <v>3.72993795740416E-2</v>
          </cell>
        </row>
        <row r="16">
          <cell r="B16">
            <v>4.059183827413726E-2</v>
          </cell>
          <cell r="C16">
            <v>7.631969472132738E-5</v>
          </cell>
          <cell r="D16">
            <v>3.493682190451676E-2</v>
          </cell>
        </row>
        <row r="17">
          <cell r="B17">
            <v>3.1328759140914597E-2</v>
          </cell>
          <cell r="C17">
            <v>3.3628978920413166E-2</v>
          </cell>
          <cell r="D17">
            <v>2.7609901527276208E-2</v>
          </cell>
        </row>
        <row r="18">
          <cell r="B18">
            <v>-7.4945725482297165E-3</v>
          </cell>
          <cell r="C18">
            <v>-9.0237899917965381E-3</v>
          </cell>
          <cell r="D18">
            <v>-3.0986194703844427E-3</v>
          </cell>
        </row>
        <row r="19">
          <cell r="B19">
            <v>-6.2652719835805892E-2</v>
          </cell>
          <cell r="C19">
            <v>-1.614238410596025E-2</v>
          </cell>
          <cell r="D19">
            <v>-4.6727670622792761E-2</v>
          </cell>
        </row>
        <row r="20">
          <cell r="B20">
            <v>3.9554751462240523E-2</v>
          </cell>
          <cell r="C20">
            <v>5.1283129995792986E-2</v>
          </cell>
          <cell r="D20">
            <v>3.4116505853474879E-2</v>
          </cell>
        </row>
        <row r="21">
          <cell r="B21">
            <v>1.2601447074721328E-2</v>
          </cell>
          <cell r="C21">
            <v>2.0008803873704517E-2</v>
          </cell>
          <cell r="D21">
            <v>1.2796951922148825E-2</v>
          </cell>
        </row>
        <row r="22">
          <cell r="B22">
            <v>1.9757325811015525E-2</v>
          </cell>
          <cell r="C22">
            <v>-6.9449566479657943E-3</v>
          </cell>
          <cell r="D22">
            <v>1.8457116644478636E-2</v>
          </cell>
        </row>
        <row r="23">
          <cell r="B23">
            <v>2.4242445387785638E-2</v>
          </cell>
          <cell r="C23">
            <v>4.8515367031737533E-2</v>
          </cell>
          <cell r="D23">
            <v>2.2004761390763405E-2</v>
          </cell>
        </row>
        <row r="24">
          <cell r="B24">
            <v>-1.9793874212047369E-2</v>
          </cell>
          <cell r="C24">
            <v>-2.4076865109268986E-2</v>
          </cell>
          <cell r="D24">
            <v>-1.2827134437210865E-2</v>
          </cell>
        </row>
        <row r="25">
          <cell r="B25">
            <v>2.8492542936535692E-3</v>
          </cell>
          <cell r="C25">
            <v>1.8617041813057345E-2</v>
          </cell>
          <cell r="D25">
            <v>5.0831519013640938E-3</v>
          </cell>
        </row>
        <row r="26">
          <cell r="B26">
            <v>7.0657664069984083E-3</v>
          </cell>
          <cell r="C26">
            <v>1.6252766912277616E-2</v>
          </cell>
          <cell r="D26">
            <v>8.4183332249635357E-3</v>
          </cell>
        </row>
        <row r="27">
          <cell r="B27">
            <v>5.043020173049606E-2</v>
          </cell>
          <cell r="C27">
            <v>8.8132179621065232E-2</v>
          </cell>
          <cell r="D27">
            <v>4.2718781299482589E-2</v>
          </cell>
        </row>
        <row r="28">
          <cell r="B28">
            <v>1.1058821970285848E-2</v>
          </cell>
          <cell r="C28">
            <v>4.6101113967437879E-2</v>
          </cell>
          <cell r="D28">
            <v>1.1576764644292881E-2</v>
          </cell>
        </row>
        <row r="29">
          <cell r="B29">
            <v>3.5986259325691883E-2</v>
          </cell>
          <cell r="C29">
            <v>2.4115334207077233E-2</v>
          </cell>
          <cell r="D29">
            <v>3.1293896073803854E-2</v>
          </cell>
        </row>
        <row r="30">
          <cell r="B30">
            <v>1.8085682553137694E-2</v>
          </cell>
          <cell r="C30">
            <v>1.7404658305605336E-2</v>
          </cell>
          <cell r="D30">
            <v>1.713487844771169E-2</v>
          </cell>
        </row>
        <row r="31">
          <cell r="B31">
            <v>2.0766732418904477E-2</v>
          </cell>
          <cell r="C31">
            <v>7.735849056603783E-2</v>
          </cell>
          <cell r="D31">
            <v>1.9255538177739336E-2</v>
          </cell>
        </row>
        <row r="32">
          <cell r="B32">
            <v>-1.5001933320248795E-2</v>
          </cell>
          <cell r="C32">
            <v>-1.5761821366024553E-2</v>
          </cell>
          <cell r="D32">
            <v>-9.0367998344623862E-3</v>
          </cell>
        </row>
        <row r="33">
          <cell r="B33">
            <v>4.9460571279654753E-2</v>
          </cell>
          <cell r="C33">
            <v>3.1435349940688084E-2</v>
          </cell>
          <cell r="D33">
            <v>4.1951821954054822E-2</v>
          </cell>
        </row>
        <row r="34">
          <cell r="B34">
            <v>-3.1294465537713201E-2</v>
          </cell>
          <cell r="C34">
            <v>-3.9390454284071286E-2</v>
          </cell>
          <cell r="D34">
            <v>-2.1923884634682315E-2</v>
          </cell>
        </row>
        <row r="35">
          <cell r="B35">
            <v>2.9746704101058397E-2</v>
          </cell>
          <cell r="C35">
            <v>2.0113738401676073E-2</v>
          </cell>
          <cell r="D35">
            <v>2.635852591634523E-2</v>
          </cell>
        </row>
        <row r="36">
          <cell r="B36">
            <v>4.4600588960842513E-2</v>
          </cell>
          <cell r="C36">
            <v>1.5168123936388556E-2</v>
          </cell>
          <cell r="D36">
            <v>3.8107667869586179E-2</v>
          </cell>
        </row>
        <row r="37">
          <cell r="B37">
            <v>2.804827958869982E-2</v>
          </cell>
          <cell r="C37">
            <v>1.0145969705447788E-2</v>
          </cell>
          <cell r="D37">
            <v>2.501510425386878E-2</v>
          </cell>
        </row>
        <row r="38">
          <cell r="B38">
            <v>2.3559382769622994E-2</v>
          </cell>
          <cell r="C38">
            <v>1.8025751072961338E-2</v>
          </cell>
          <cell r="D38">
            <v>2.146447178036838E-2</v>
          </cell>
        </row>
        <row r="39">
          <cell r="B39">
            <v>-3.5582720880623198E-2</v>
          </cell>
          <cell r="C39">
            <v>-4.715064643057898E-2</v>
          </cell>
          <cell r="D39">
            <v>-2.5315813495798162E-2</v>
          </cell>
        </row>
        <row r="40">
          <cell r="B40">
            <v>4.3118460223648736E-2</v>
          </cell>
          <cell r="C40">
            <v>2.4754014319938733E-2</v>
          </cell>
          <cell r="D40">
            <v>3.6935332073890464E-2</v>
          </cell>
        </row>
        <row r="41">
          <cell r="B41">
            <v>6.9299048525690576E-3</v>
          </cell>
          <cell r="C41">
            <v>7.8534379533469867E-2</v>
          </cell>
          <cell r="D41">
            <v>8.3108693053191747E-3</v>
          </cell>
        </row>
        <row r="42">
          <cell r="B42">
            <v>6.2034572293734325E-3</v>
          </cell>
          <cell r="C42">
            <v>3.1625024919929468E-2</v>
          </cell>
          <cell r="D42">
            <v>7.7362629765985198E-3</v>
          </cell>
        </row>
        <row r="43">
          <cell r="B43">
            <v>2.1031623713360315E-2</v>
          </cell>
          <cell r="C43">
            <v>-6.5968180054326586E-3</v>
          </cell>
          <cell r="D43">
            <v>1.9465062181063583E-2</v>
          </cell>
        </row>
        <row r="44">
          <cell r="B44">
            <v>1.9057548724431106E-2</v>
          </cell>
          <cell r="C44">
            <v>-1.0934895833333291E-2</v>
          </cell>
          <cell r="D44">
            <v>1.790360620572698E-2</v>
          </cell>
        </row>
        <row r="45">
          <cell r="B45">
            <v>-1.5078511662157346E-2</v>
          </cell>
          <cell r="C45">
            <v>-9.3548990129040943E-3</v>
          </cell>
          <cell r="D45">
            <v>-9.0973718543831371E-3</v>
          </cell>
        </row>
        <row r="46">
          <cell r="B46">
            <v>3.7652047716220105E-2</v>
          </cell>
          <cell r="C46">
            <v>9.438455486806574E-2</v>
          </cell>
          <cell r="D46">
            <v>3.2611503181245866E-2</v>
          </cell>
        </row>
        <row r="47">
          <cell r="B47">
            <v>-1.55151500505194E-2</v>
          </cell>
          <cell r="C47">
            <v>4.9543423353408667E-3</v>
          </cell>
          <cell r="D47">
            <v>-9.4427445602797335E-3</v>
          </cell>
        </row>
        <row r="48">
          <cell r="B48">
            <v>2.3206258162649318E-2</v>
          </cell>
          <cell r="C48">
            <v>1.4983083615273118E-2</v>
          </cell>
          <cell r="D48">
            <v>2.1185156895832752E-2</v>
          </cell>
        </row>
        <row r="49">
          <cell r="B49">
            <v>2.4532311268006479E-2</v>
          </cell>
          <cell r="C49">
            <v>6.2214285714285777E-2</v>
          </cell>
          <cell r="D49">
            <v>2.2234039819017313E-2</v>
          </cell>
        </row>
        <row r="50">
          <cell r="B50">
            <v>-4.1883462182201736E-3</v>
          </cell>
          <cell r="C50">
            <v>1.3157599802747999E-2</v>
          </cell>
          <cell r="D50">
            <v>-4.8345698275832454E-4</v>
          </cell>
        </row>
        <row r="51">
          <cell r="B51">
            <v>-3.1041766456985753E-2</v>
          </cell>
          <cell r="C51">
            <v>-4.4845132743362881E-2</v>
          </cell>
          <cell r="D51">
            <v>-2.172400444179361E-2</v>
          </cell>
        </row>
        <row r="52">
          <cell r="B52">
            <v>5.4893916586232772E-2</v>
          </cell>
          <cell r="C52">
            <v>2.4621870150325353E-2</v>
          </cell>
          <cell r="D52">
            <v>4.6249495316314101E-2</v>
          </cell>
        </row>
        <row r="53">
          <cell r="B53">
            <v>-1.7398884310388607E-2</v>
          </cell>
          <cell r="C53">
            <v>-1.6638032371823819E-2</v>
          </cell>
          <cell r="D53">
            <v>-1.0932742727783253E-2</v>
          </cell>
        </row>
        <row r="54">
          <cell r="B54">
            <v>8.52387508934771E-3</v>
          </cell>
          <cell r="C54">
            <v>-1.8850574712643731E-2</v>
          </cell>
          <cell r="D54">
            <v>9.5716696116321508E-3</v>
          </cell>
        </row>
        <row r="55">
          <cell r="B55">
            <v>1.0489466239135492E-2</v>
          </cell>
          <cell r="C55">
            <v>6.5604498594189486E-3</v>
          </cell>
          <cell r="D55">
            <v>1.1126415030685196E-2</v>
          </cell>
        </row>
        <row r="56">
          <cell r="B56">
            <v>-2.101070755318124E-2</v>
          </cell>
          <cell r="C56">
            <v>-4.6322160148975833E-2</v>
          </cell>
          <cell r="D56">
            <v>-1.3789626592857349E-2</v>
          </cell>
        </row>
        <row r="57">
          <cell r="B57">
            <v>1.9738887770079039E-2</v>
          </cell>
          <cell r="C57">
            <v>4.4666829387356666E-2</v>
          </cell>
          <cell r="D57">
            <v>1.8442532502865358E-2</v>
          </cell>
        </row>
        <row r="58">
          <cell r="B58">
            <v>-6.2576510789646766E-2</v>
          </cell>
          <cell r="C58">
            <v>-5.3593457943925227E-2</v>
          </cell>
          <cell r="D58">
            <v>-4.6667390708824336E-2</v>
          </cell>
        </row>
        <row r="59">
          <cell r="B59">
            <v>-2.6446882672691241E-2</v>
          </cell>
          <cell r="C59">
            <v>-3.5999427248174398E-2</v>
          </cell>
          <cell r="D59">
            <v>-1.8089538283618083E-2</v>
          </cell>
        </row>
        <row r="60">
          <cell r="B60">
            <v>8.2984938771496264E-2</v>
          </cell>
          <cell r="C60">
            <v>4.7920508092603953E-2</v>
          </cell>
          <cell r="D60">
            <v>6.8468962504987213E-2</v>
          </cell>
        </row>
        <row r="61">
          <cell r="B61">
            <v>5.0351609765897365E-4</v>
          </cell>
          <cell r="C61">
            <v>-1.5816536002658865E-2</v>
          </cell>
          <cell r="D61">
            <v>3.2277173594889397E-3</v>
          </cell>
        </row>
        <row r="62">
          <cell r="B62">
            <v>-1.7530208734062636E-2</v>
          </cell>
          <cell r="C62">
            <v>-1.7679777512912165E-2</v>
          </cell>
          <cell r="D62">
            <v>-1.1036617862822918E-2</v>
          </cell>
        </row>
        <row r="63">
          <cell r="B63">
            <v>-5.0734045036633701E-2</v>
          </cell>
          <cell r="C63">
            <v>-1.7391051567239746E-2</v>
          </cell>
          <cell r="D63">
            <v>-3.7300224306097335E-2</v>
          </cell>
        </row>
        <row r="64">
          <cell r="B64">
            <v>-4.1300480105391779E-3</v>
          </cell>
          <cell r="C64">
            <v>4.2163757418255621E-2</v>
          </cell>
          <cell r="D64">
            <v>-4.373442032309968E-4</v>
          </cell>
        </row>
        <row r="65">
          <cell r="B65">
            <v>6.599370661088555E-2</v>
          </cell>
          <cell r="C65">
            <v>5.3787860087383565E-2</v>
          </cell>
          <cell r="D65">
            <v>5.5029219266100299E-2</v>
          </cell>
        </row>
        <row r="66">
          <cell r="B66">
            <v>2.69700118981131E-3</v>
          </cell>
          <cell r="C66">
            <v>2.6001405481377304E-2</v>
          </cell>
          <cell r="D66">
            <v>4.9627225761908929E-3</v>
          </cell>
        </row>
        <row r="67">
          <cell r="B67">
            <v>1.5333341782454379E-2</v>
          </cell>
          <cell r="C67">
            <v>-3.3356164383561593E-2</v>
          </cell>
          <cell r="D67">
            <v>1.4957828960408686E-2</v>
          </cell>
        </row>
        <row r="68">
          <cell r="B68">
            <v>9.0179481344954127E-4</v>
          </cell>
          <cell r="C68">
            <v>2.4941543257989141E-2</v>
          </cell>
          <cell r="D68">
            <v>3.54274828997953E-3</v>
          </cell>
        </row>
        <row r="69">
          <cell r="B69">
            <v>3.5614001594188816E-2</v>
          </cell>
          <cell r="C69">
            <v>-4.4936052540615057E-3</v>
          </cell>
          <cell r="D69">
            <v>3.0999447249680914E-2</v>
          </cell>
        </row>
        <row r="70">
          <cell r="B70">
            <v>-1.2223488580096475E-3</v>
          </cell>
          <cell r="C70">
            <v>4.5185185185185217E-2</v>
          </cell>
          <cell r="D70">
            <v>1.862590825407994E-3</v>
          </cell>
        </row>
        <row r="71">
          <cell r="B71">
            <v>-1.2321204097999194E-3</v>
          </cell>
          <cell r="C71">
            <v>-4.2257264351523771E-2</v>
          </cell>
          <cell r="D71">
            <v>1.854861712777117E-3</v>
          </cell>
        </row>
        <row r="72">
          <cell r="B72">
            <v>-1.9425049470841449E-2</v>
          </cell>
          <cell r="C72">
            <v>-2.4049579132364718E-3</v>
          </cell>
          <cell r="D72">
            <v>-1.2535401043475733E-2</v>
          </cell>
        </row>
        <row r="73">
          <cell r="B73">
            <v>3.4173054294655225E-2</v>
          </cell>
          <cell r="C73">
            <v>9.8748261474269849E-2</v>
          </cell>
          <cell r="D73">
            <v>2.985968519220086E-2</v>
          </cell>
        </row>
        <row r="74">
          <cell r="B74">
            <v>1.8199036954797077E-2</v>
          </cell>
          <cell r="C74">
            <v>3.0046413502109681E-2</v>
          </cell>
          <cell r="D74">
            <v>1.7224539635252369E-2</v>
          </cell>
        </row>
        <row r="75">
          <cell r="B75">
            <v>1.7884461192794632E-2</v>
          </cell>
          <cell r="C75">
            <v>7.6165098455274194E-3</v>
          </cell>
          <cell r="D75">
            <v>1.6975716157912626E-2</v>
          </cell>
        </row>
        <row r="76">
          <cell r="B76">
            <v>3.7198884614172645E-2</v>
          </cell>
          <cell r="C76">
            <v>4.5205440190649426E-2</v>
          </cell>
          <cell r="D76">
            <v>3.2253059739399771E-2</v>
          </cell>
        </row>
        <row r="77">
          <cell r="B77">
            <v>-3.89220623005615E-4</v>
          </cell>
          <cell r="C77">
            <v>-2.8199144301828127E-2</v>
          </cell>
          <cell r="D77">
            <v>2.5215795001362648E-3</v>
          </cell>
        </row>
        <row r="78">
          <cell r="B78">
            <v>9.090079905042403E-3</v>
          </cell>
          <cell r="C78">
            <v>-8.2849709825895124E-3</v>
          </cell>
          <cell r="D78">
            <v>1.0019526910716012E-2</v>
          </cell>
        </row>
        <row r="79">
          <cell r="B79">
            <v>1.1576989486522526E-2</v>
          </cell>
          <cell r="C79">
            <v>2.6636532407782187E-3</v>
          </cell>
          <cell r="D79">
            <v>1.1986625348162071E-2</v>
          </cell>
        </row>
        <row r="80">
          <cell r="B80">
            <v>4.8144869756812092E-3</v>
          </cell>
          <cell r="C80">
            <v>2.5197230719690822E-2</v>
          </cell>
          <cell r="D80">
            <v>6.6376137791995162E-3</v>
          </cell>
        </row>
        <row r="81">
          <cell r="B81">
            <v>1.9349245754665123E-2</v>
          </cell>
          <cell r="C81">
            <v>3.1747153513937976E-2</v>
          </cell>
          <cell r="D81">
            <v>1.8134333039003921E-2</v>
          </cell>
        </row>
        <row r="82">
          <cell r="B82">
            <v>5.4656627454563456E-4</v>
          </cell>
          <cell r="C82">
            <v>3.2969792911342388E-2</v>
          </cell>
          <cell r="D82">
            <v>3.2617692350843225E-3</v>
          </cell>
        </row>
        <row r="83">
          <cell r="B83">
            <v>1.9302676329669088E-2</v>
          </cell>
          <cell r="C83">
            <v>1.2120095781911866E-2</v>
          </cell>
          <cell r="D83">
            <v>1.8097497504722879E-2</v>
          </cell>
        </row>
        <row r="84">
          <cell r="B84">
            <v>2.2189828300208214E-2</v>
          </cell>
          <cell r="C84">
            <v>2.0856082113998697E-2</v>
          </cell>
          <cell r="D84">
            <v>2.0381180101070706E-2</v>
          </cell>
        </row>
        <row r="85">
          <cell r="B85">
            <v>2.8081044037432834E-2</v>
          </cell>
          <cell r="C85">
            <v>3.9326844225763935E-2</v>
          </cell>
          <cell r="D85">
            <v>2.5041020313055832E-2</v>
          </cell>
        </row>
        <row r="86">
          <cell r="B86">
            <v>9.8318450742365116E-3</v>
          </cell>
          <cell r="C86">
            <v>2.0926277873070331E-2</v>
          </cell>
          <cell r="D86">
            <v>1.0606249128580169E-2</v>
          </cell>
        </row>
        <row r="87">
          <cell r="B87">
            <v>5.6178494549969704E-2</v>
          </cell>
          <cell r="C87">
            <v>8.6609674509083412E-2</v>
          </cell>
          <cell r="D87">
            <v>4.7265572187006208E-2</v>
          </cell>
        </row>
        <row r="88">
          <cell r="B88">
            <v>-3.8947167504676861E-2</v>
          </cell>
          <cell r="C88">
            <v>-4.058770149397728E-2</v>
          </cell>
          <cell r="D88">
            <v>-2.7977027134738628E-2</v>
          </cell>
        </row>
        <row r="89">
          <cell r="B89">
            <v>-2.6886184436862748E-2</v>
          </cell>
          <cell r="C89">
            <v>-3.5938759065269998E-2</v>
          </cell>
          <cell r="D89">
            <v>-1.8437017669400479E-2</v>
          </cell>
        </row>
        <row r="90">
          <cell r="B90">
            <v>2.7200828840745483E-3</v>
          </cell>
          <cell r="C90">
            <v>-2.8251420929454985E-2</v>
          </cell>
          <cell r="D90">
            <v>4.9809797597479243E-3</v>
          </cell>
        </row>
        <row r="91">
          <cell r="B91">
            <v>2.1610392796586053E-2</v>
          </cell>
          <cell r="C91">
            <v>-1.1869946671254072E-2</v>
          </cell>
          <cell r="D91">
            <v>1.9922857578103245E-2</v>
          </cell>
        </row>
        <row r="92">
          <cell r="B92">
            <v>4.8419161083466111E-3</v>
          </cell>
          <cell r="C92">
            <v>-1.7966538997214454E-2</v>
          </cell>
          <cell r="D92">
            <v>6.6593097042980482E-3</v>
          </cell>
        </row>
        <row r="93">
          <cell r="B93">
            <v>3.6019762305947056E-2</v>
          </cell>
          <cell r="C93">
            <v>6.9174547256610763E-2</v>
          </cell>
          <cell r="D93">
            <v>3.132039629745513E-2</v>
          </cell>
        </row>
        <row r="94">
          <cell r="B94">
            <v>3.0262894579943689E-2</v>
          </cell>
          <cell r="C94">
            <v>4.7255844801856961E-2</v>
          </cell>
          <cell r="D94">
            <v>2.6766822821066412E-2</v>
          </cell>
        </row>
        <row r="95">
          <cell r="B95">
            <v>4.2944638745812114E-3</v>
          </cell>
          <cell r="C95">
            <v>1.3299715009499558E-2</v>
          </cell>
          <cell r="D95">
            <v>6.2262853428030306E-3</v>
          </cell>
        </row>
        <row r="96">
          <cell r="B96">
            <v>-6.9401252196493624E-2</v>
          </cell>
          <cell r="C96">
            <v>-3.8422025246558467E-2</v>
          </cell>
          <cell r="D96">
            <v>-5.2065632067238257E-2</v>
          </cell>
        </row>
        <row r="97">
          <cell r="B97">
            <v>1.7859296884204179E-2</v>
          </cell>
          <cell r="C97">
            <v>5.9456297427731064E-2</v>
          </cell>
          <cell r="D97">
            <v>1.6955811665816764E-2</v>
          </cell>
        </row>
        <row r="98">
          <cell r="B98">
            <v>-9.1779377093156755E-2</v>
          </cell>
          <cell r="C98">
            <v>-6.1349693251533721E-2</v>
          </cell>
          <cell r="D98">
            <v>-6.9766305563779135E-2</v>
          </cell>
        </row>
        <row r="99">
          <cell r="B99">
            <v>7.8685848280793724E-2</v>
          </cell>
          <cell r="C99">
            <v>1.7973856209150263E-2</v>
          </cell>
          <cell r="D99">
            <v>6.5068463246921296E-2</v>
          </cell>
        </row>
        <row r="100">
          <cell r="B100">
            <v>2.9729211783815712E-2</v>
          </cell>
          <cell r="C100">
            <v>-2.985553772070626E-2</v>
          </cell>
          <cell r="D100">
            <v>2.634468982428477E-2</v>
          </cell>
        </row>
        <row r="101">
          <cell r="B101">
            <v>1.7923726321195987E-2</v>
          </cell>
          <cell r="C101">
            <v>-3.2594308405029526E-3</v>
          </cell>
          <cell r="D101">
            <v>1.7006774131752774E-2</v>
          </cell>
        </row>
        <row r="102">
          <cell r="B102">
            <v>3.9313813986679325E-2</v>
          </cell>
          <cell r="C102">
            <v>7.9229155254552319E-2</v>
          </cell>
          <cell r="D102">
            <v>3.3925928867794303E-2</v>
          </cell>
        </row>
        <row r="103">
          <cell r="B103">
            <v>-6.5777027995349791E-2</v>
          </cell>
          <cell r="C103">
            <v>-8.6194195699698661E-2</v>
          </cell>
          <cell r="D103">
            <v>-4.9198939278680506E-2</v>
          </cell>
        </row>
        <row r="104">
          <cell r="B104">
            <v>6.8929293833237093E-2</v>
          </cell>
          <cell r="C104">
            <v>7.1669023092977957E-2</v>
          </cell>
          <cell r="D104">
            <v>5.7351213230447617E-2</v>
          </cell>
        </row>
        <row r="105">
          <cell r="B105">
            <v>1.3127586423790971E-2</v>
          </cell>
          <cell r="C105">
            <v>-3.0419349772263238E-2</v>
          </cell>
          <cell r="D105">
            <v>1.321311819499651E-2</v>
          </cell>
        </row>
        <row r="106">
          <cell r="B106">
            <v>-1.8091903240630258E-2</v>
          </cell>
          <cell r="C106">
            <v>-1.8103710807150786E-2</v>
          </cell>
          <cell r="D106">
            <v>-1.1480907592702682E-2</v>
          </cell>
        </row>
        <row r="107">
          <cell r="B107">
            <v>1.7180885878367524E-2</v>
          </cell>
          <cell r="C107">
            <v>2.8883653712905577E-2</v>
          </cell>
          <cell r="D107">
            <v>1.6419201392783342E-2</v>
          </cell>
        </row>
        <row r="108">
          <cell r="B108">
            <v>2.0434172707484377E-2</v>
          </cell>
          <cell r="C108">
            <v>2.2791118294466228E-2</v>
          </cell>
          <cell r="D108">
            <v>1.8992489736588271E-2</v>
          </cell>
        </row>
        <row r="109">
          <cell r="B109">
            <v>3.4045760887282395E-2</v>
          </cell>
          <cell r="C109">
            <v>3.6232978720068587E-2</v>
          </cell>
          <cell r="D109">
            <v>2.9758998514806158E-2</v>
          </cell>
        </row>
        <row r="110">
          <cell r="B110">
            <v>2.8590218480137208E-2</v>
          </cell>
          <cell r="C110">
            <v>2.7518985076662839E-2</v>
          </cell>
          <cell r="D110">
            <v>2.5443767665870778E-2</v>
          </cell>
        </row>
        <row r="111">
          <cell r="B111">
            <v>-1.6298325630415E-3</v>
          </cell>
          <cell r="C111">
            <v>-1.0583321063635576E-2</v>
          </cell>
          <cell r="D111">
            <v>1.5402789225458778E-3</v>
          </cell>
        </row>
        <row r="112">
          <cell r="B112">
            <v>-8.4108280807849045E-2</v>
          </cell>
          <cell r="C112">
            <v>-8.0060504289917067E-2</v>
          </cell>
          <cell r="D112">
            <v>-6.3698613505853111E-2</v>
          </cell>
        </row>
        <row r="113">
          <cell r="B113">
            <v>-0.1251201547093802</v>
          </cell>
          <cell r="C113">
            <v>-0.12001449387892438</v>
          </cell>
          <cell r="D113">
            <v>-9.6138229995818988E-2</v>
          </cell>
        </row>
        <row r="114">
          <cell r="B114">
            <v>0.12684397460846775</v>
          </cell>
          <cell r="C114">
            <v>3.5661764705882337E-2</v>
          </cell>
          <cell r="D114">
            <v>0.10316063022997517</v>
          </cell>
        </row>
        <row r="115">
          <cell r="B115">
            <v>4.5279923106294362E-2</v>
          </cell>
          <cell r="C115">
            <v>-1.0862619808306717E-2</v>
          </cell>
          <cell r="D115">
            <v>3.8645008328593439E-2</v>
          </cell>
        </row>
        <row r="116">
          <cell r="B116">
            <v>1.8388423939773579E-2</v>
          </cell>
          <cell r="C116">
            <v>-4.0697674418604612E-2</v>
          </cell>
          <cell r="D116">
            <v>1.7374341157991358E-2</v>
          </cell>
        </row>
        <row r="117">
          <cell r="B117">
            <v>5.5104528942981901E-2</v>
          </cell>
          <cell r="C117">
            <v>9.850729517396184E-2</v>
          </cell>
          <cell r="D117">
            <v>4.6416085706633581E-2</v>
          </cell>
        </row>
        <row r="118">
          <cell r="B118">
            <v>7.006263851522454E-2</v>
          </cell>
          <cell r="C118">
            <v>0.11554978868035048</v>
          </cell>
          <cell r="D118">
            <v>5.824766743595132E-2</v>
          </cell>
        </row>
        <row r="119">
          <cell r="B119">
            <v>-3.9227837158300027E-2</v>
          </cell>
          <cell r="C119">
            <v>-2.3076688240322385E-2</v>
          </cell>
          <cell r="D119">
            <v>-2.8199031521706355E-2</v>
          </cell>
        </row>
        <row r="120">
          <cell r="B120">
            <v>-2.7665753706911711E-2</v>
          </cell>
          <cell r="C120">
            <v>-5.4690422842428643E-2</v>
          </cell>
          <cell r="D120">
            <v>-1.9053642215951787E-2</v>
          </cell>
        </row>
        <row r="121">
          <cell r="B121">
            <v>0.10754701680089429</v>
          </cell>
          <cell r="C121">
            <v>0.13615864012698697</v>
          </cell>
          <cell r="D121">
            <v>8.7897101618634038E-2</v>
          </cell>
        </row>
        <row r="122">
          <cell r="B122">
            <v>3.7120829823122481E-2</v>
          </cell>
          <cell r="C122">
            <v>1.2007983985475201E-2</v>
          </cell>
          <cell r="D122">
            <v>3.2191319876135993E-2</v>
          </cell>
        </row>
        <row r="123">
          <cell r="B123">
            <v>-1.1136310777434488E-2</v>
          </cell>
          <cell r="C123">
            <v>-1.0680965455773905E-2</v>
          </cell>
          <cell r="D123">
            <v>-5.9791655238492086E-3</v>
          </cell>
        </row>
        <row r="124">
          <cell r="B124">
            <v>2.6090664481449366E-2</v>
          </cell>
          <cell r="C124">
            <v>5.9517611159546568E-2</v>
          </cell>
          <cell r="D124">
            <v>2.3466667733590751E-2</v>
          </cell>
        </row>
        <row r="125">
          <cell r="B125">
            <v>4.2439281964457898E-2</v>
          </cell>
          <cell r="C125">
            <v>5.7935129246389439E-2</v>
          </cell>
          <cell r="D125">
            <v>3.6398114917966976E-2</v>
          </cell>
        </row>
        <row r="126">
          <cell r="B126">
            <v>5.242595975007136E-2</v>
          </cell>
          <cell r="C126">
            <v>6.947850931548194E-2</v>
          </cell>
          <cell r="D126">
            <v>4.4297388141911698E-2</v>
          </cell>
        </row>
        <row r="127">
          <cell r="B127">
            <v>5.485455831532926E-3</v>
          </cell>
          <cell r="C127">
            <v>5.6969672727272602E-2</v>
          </cell>
          <cell r="D127">
            <v>7.168337452367942E-3</v>
          </cell>
        </row>
        <row r="128">
          <cell r="B128">
            <v>2.2213042500697888E-2</v>
          </cell>
          <cell r="C128">
            <v>-3.9905941282246338E-2</v>
          </cell>
          <cell r="D128">
            <v>2.0399542094546409E-2</v>
          </cell>
        </row>
        <row r="129">
          <cell r="B129">
            <v>2.2749835231048232E-2</v>
          </cell>
          <cell r="C129">
            <v>7.142840079217283E-4</v>
          </cell>
          <cell r="D129">
            <v>2.0824134990471525E-2</v>
          </cell>
        </row>
        <row r="130">
          <cell r="B130">
            <v>2.8989418612476836E-2</v>
          </cell>
          <cell r="C130">
            <v>2.6259250417760782E-2</v>
          </cell>
          <cell r="D130">
            <v>2.5759527419422484E-2</v>
          </cell>
        </row>
        <row r="131">
          <cell r="B131">
            <v>-4.7569441768317455E-2</v>
          </cell>
          <cell r="C131">
            <v>-4.3082135380321018E-2</v>
          </cell>
          <cell r="D131">
            <v>-3.4797082981378721E-2</v>
          </cell>
        </row>
        <row r="132">
          <cell r="B132">
            <v>6.9143405229559418E-2</v>
          </cell>
          <cell r="C132">
            <v>5.2319176533541567E-2</v>
          </cell>
          <cell r="D132">
            <v>5.7520571294882902E-2</v>
          </cell>
        </row>
        <row r="133">
          <cell r="B133">
            <v>-8.3326852720162492E-3</v>
          </cell>
          <cell r="C133">
            <v>-3.7019925987867963E-2</v>
          </cell>
          <cell r="D133">
            <v>-3.761550781454839E-3</v>
          </cell>
        </row>
        <row r="134">
          <cell r="B134">
            <v>4.3613184423158868E-2</v>
          </cell>
          <cell r="C134">
            <v>8.104568264903711E-2</v>
          </cell>
          <cell r="D134">
            <v>3.7326649557674466E-2</v>
          </cell>
        </row>
        <row r="135">
          <cell r="B135">
            <v>-5.2586187915612426E-2</v>
          </cell>
          <cell r="C135">
            <v>4.2477510861798962E-2</v>
          </cell>
          <cell r="D135">
            <v>-3.8765234288887909E-2</v>
          </cell>
        </row>
        <row r="136">
          <cell r="B136">
            <v>-3.1360190036336055E-2</v>
          </cell>
          <cell r="C136">
            <v>1.3622673236768357E-2</v>
          </cell>
          <cell r="D136">
            <v>-2.1975871469871552E-2</v>
          </cell>
        </row>
        <row r="137">
          <cell r="B137">
            <v>3.5774229488720222E-2</v>
          </cell>
          <cell r="C137">
            <v>0.11070022364317889</v>
          </cell>
          <cell r="D137">
            <v>3.11261844834409E-2</v>
          </cell>
        </row>
        <row r="138">
          <cell r="B138">
            <v>-8.7958206365867153E-2</v>
          </cell>
          <cell r="C138">
            <v>-8.4286689316552033E-2</v>
          </cell>
          <cell r="D138">
            <v>-6.6743831798411132E-2</v>
          </cell>
        </row>
        <row r="139">
          <cell r="B139">
            <v>5.3575877765332791E-5</v>
          </cell>
          <cell r="C139">
            <v>-2.1245406119667964E-2</v>
          </cell>
          <cell r="D139">
            <v>2.8718231564636132E-3</v>
          </cell>
        </row>
        <row r="140">
          <cell r="B140">
            <v>-8.3918328754959526E-2</v>
          </cell>
          <cell r="C140">
            <v>-0.13732728615124989</v>
          </cell>
          <cell r="D140">
            <v>-6.3548365025083556E-2</v>
          </cell>
        </row>
        <row r="141">
          <cell r="B141">
            <v>9.1113834372415381E-2</v>
          </cell>
          <cell r="C141">
            <v>0.10453600684680286</v>
          </cell>
          <cell r="D141">
            <v>7.4898765161991426E-2</v>
          </cell>
        </row>
        <row r="142">
          <cell r="B142">
            <v>-4.243938128990743E-2</v>
          </cell>
          <cell r="C142">
            <v>-6.7283595306619426E-2</v>
          </cell>
          <cell r="D142">
            <v>-3.0739302181371459E-2</v>
          </cell>
        </row>
        <row r="143">
          <cell r="B143">
            <v>-9.3394435089137362E-2</v>
          </cell>
          <cell r="C143">
            <v>-3.5218889743370618E-2</v>
          </cell>
          <cell r="D143">
            <v>-7.1043785888732239E-2</v>
          </cell>
        </row>
        <row r="144">
          <cell r="B144">
            <v>7.9861443809644106E-2</v>
          </cell>
          <cell r="C144">
            <v>9.4914753856373268E-2</v>
          </cell>
          <cell r="D144">
            <v>6.5998337073091468E-2</v>
          </cell>
        </row>
        <row r="145">
          <cell r="B145">
            <v>5.3752726026202291E-2</v>
          </cell>
          <cell r="C145">
            <v>7.9159644983709754E-2</v>
          </cell>
          <cell r="D145">
            <v>4.5346835169688224E-2</v>
          </cell>
        </row>
        <row r="146">
          <cell r="B146">
            <v>-5.897149067685914E-2</v>
          </cell>
          <cell r="C146">
            <v>-2.4088115266094778E-2</v>
          </cell>
          <cell r="D146">
            <v>-4.3815887990898583E-2</v>
          </cell>
        </row>
        <row r="147">
          <cell r="B147">
            <v>6.1754771067835224E-2</v>
          </cell>
          <cell r="C147">
            <v>9.150500769173453E-3</v>
          </cell>
          <cell r="D147">
            <v>5.167630143375751E-2</v>
          </cell>
        </row>
        <row r="148">
          <cell r="B148">
            <v>-2.6112514640123874E-2</v>
          </cell>
          <cell r="C148">
            <v>-2.0031505292073093E-2</v>
          </cell>
          <cell r="D148">
            <v>-1.7825059494645096E-2</v>
          </cell>
        </row>
        <row r="149">
          <cell r="B149">
            <v>3.5051290624090514E-2</v>
          </cell>
          <cell r="C149">
            <v>4.4765654495442231E-3</v>
          </cell>
          <cell r="D149">
            <v>3.0554353516375445E-2</v>
          </cell>
        </row>
        <row r="150">
          <cell r="B150">
            <v>1.4642098118692548E-2</v>
          </cell>
          <cell r="C150">
            <v>8.00686855670103E-2</v>
          </cell>
          <cell r="D150">
            <v>1.4411068297694478E-2</v>
          </cell>
        </row>
        <row r="151">
          <cell r="B151">
            <v>2.4808987107580727E-3</v>
          </cell>
          <cell r="C151">
            <v>-2.9541840182223944E-2</v>
          </cell>
          <cell r="D151">
            <v>4.7917896029780749E-3</v>
          </cell>
        </row>
        <row r="152">
          <cell r="B152">
            <v>6.4728982734588048E-2</v>
          </cell>
          <cell r="C152">
            <v>6.1033927062354554E-2</v>
          </cell>
          <cell r="D152">
            <v>5.4028846603019862E-2</v>
          </cell>
        </row>
        <row r="153">
          <cell r="B153">
            <v>3.1138865858735043E-2</v>
          </cell>
          <cell r="C153">
            <v>3.3969988992101241E-2</v>
          </cell>
          <cell r="D153">
            <v>2.7459699533026547E-2</v>
          </cell>
        </row>
        <row r="154">
          <cell r="B154">
            <v>-1.7716285687521816E-2</v>
          </cell>
          <cell r="C154">
            <v>2.1152428091146813E-2</v>
          </cell>
          <cell r="D154">
            <v>-1.118380121324309E-2</v>
          </cell>
        </row>
        <row r="155">
          <cell r="B155">
            <v>-4.8718754745776027E-2</v>
          </cell>
          <cell r="C155">
            <v>-2.7889724671640748E-2</v>
          </cell>
          <cell r="D155">
            <v>-3.5706167806549435E-2</v>
          </cell>
        </row>
        <row r="156">
          <cell r="B156">
            <v>-2.1980405260002001E-2</v>
          </cell>
          <cell r="C156">
            <v>-2.5686906488897931E-2</v>
          </cell>
          <cell r="D156">
            <v>-1.4556639136492681E-2</v>
          </cell>
        </row>
        <row r="157">
          <cell r="B157">
            <v>8.9178692794205094E-2</v>
          </cell>
          <cell r="C157">
            <v>5.4217158306377744E-2</v>
          </cell>
          <cell r="D157">
            <v>7.3368104778082824E-2</v>
          </cell>
        </row>
        <row r="158">
          <cell r="B158">
            <v>4.4229350796097355E-2</v>
          </cell>
          <cell r="C158">
            <v>-5.999212309946822E-3</v>
          </cell>
          <cell r="D158">
            <v>3.7814025503482979E-2</v>
          </cell>
        </row>
        <row r="159">
          <cell r="B159">
            <v>1.5895278093018383E-2</v>
          </cell>
          <cell r="C159">
            <v>6.5229132537435675E-2</v>
          </cell>
          <cell r="D159">
            <v>1.540230995267571E-2</v>
          </cell>
        </row>
        <row r="160">
          <cell r="B160">
            <v>5.1721125175185456E-2</v>
          </cell>
          <cell r="C160">
            <v>6.6677642065631648E-2</v>
          </cell>
          <cell r="D160">
            <v>4.3739877325579227E-2</v>
          </cell>
        </row>
        <row r="161">
          <cell r="B161">
            <v>3.101972951085985E-2</v>
          </cell>
          <cell r="C161">
            <v>2.8997941809488337E-2</v>
          </cell>
          <cell r="D161">
            <v>2.7365464935398414E-2</v>
          </cell>
        </row>
        <row r="162">
          <cell r="B162">
            <v>-4.161552611494046E-2</v>
          </cell>
          <cell r="C162">
            <v>-5.5072173885631459E-2</v>
          </cell>
          <cell r="D162">
            <v>-3.0087648321726567E-2</v>
          </cell>
        </row>
        <row r="163">
          <cell r="B163">
            <v>4.802034799716659E-2</v>
          </cell>
          <cell r="C163">
            <v>4.653876486173858E-2</v>
          </cell>
          <cell r="D163">
            <v>4.0812632580362454E-2</v>
          </cell>
        </row>
        <row r="164">
          <cell r="B164">
            <v>3.4670776166343176E-2</v>
          </cell>
          <cell r="C164">
            <v>-2.4161619381574795E-2</v>
          </cell>
          <cell r="D164">
            <v>3.0253373777974608E-2</v>
          </cell>
        </row>
        <row r="165">
          <cell r="B165">
            <v>1.1321199980694585E-2</v>
          </cell>
          <cell r="C165">
            <v>7.6717877437152859E-2</v>
          </cell>
          <cell r="D165">
            <v>1.1784300687476266E-2</v>
          </cell>
        </row>
        <row r="166">
          <cell r="B166">
            <v>2.2833847758855885E-2</v>
          </cell>
          <cell r="C166">
            <v>8.5085176771140247E-2</v>
          </cell>
          <cell r="D166">
            <v>2.0890587310816028E-2</v>
          </cell>
        </row>
        <row r="167">
          <cell r="B167">
            <v>2.0198233636761209E-2</v>
          </cell>
          <cell r="C167">
            <v>-3.3719982345866484E-2</v>
          </cell>
          <cell r="D167">
            <v>1.880586639458651E-2</v>
          </cell>
        </row>
        <row r="168">
          <cell r="B168">
            <v>-9.8979804465961774E-3</v>
          </cell>
          <cell r="C168">
            <v>-2.0574235365606652E-2</v>
          </cell>
          <cell r="D168">
            <v>-4.9996696559759888E-3</v>
          </cell>
        </row>
        <row r="169">
          <cell r="B169">
            <v>5.7302510889593705E-2</v>
          </cell>
          <cell r="C169">
            <v>6.9546996533766059E-2</v>
          </cell>
          <cell r="D169">
            <v>4.8154647850152069E-2</v>
          </cell>
        </row>
        <row r="170">
          <cell r="B170">
            <v>-2.4991239575695712E-2</v>
          </cell>
          <cell r="C170">
            <v>-5.9554720733661082E-2</v>
          </cell>
          <cell r="D170">
            <v>-1.693815212832616E-2</v>
          </cell>
        </row>
        <row r="171">
          <cell r="B171">
            <v>2.7016039635902267E-2</v>
          </cell>
          <cell r="C171">
            <v>3.1859102390882965E-2</v>
          </cell>
          <cell r="D171">
            <v>2.4198621976692876E-2</v>
          </cell>
        </row>
        <row r="172">
          <cell r="B172">
            <v>-1.4240665110677675E-2</v>
          </cell>
          <cell r="C172">
            <v>0.10302462164475923</v>
          </cell>
          <cell r="D172">
            <v>-8.4346510805726471E-3</v>
          </cell>
        </row>
        <row r="173">
          <cell r="B173">
            <v>-5.7545040285423843E-2</v>
          </cell>
          <cell r="C173">
            <v>3.0247239099964407E-2</v>
          </cell>
          <cell r="D173">
            <v>-4.2687592713505876E-2</v>
          </cell>
        </row>
        <row r="174">
          <cell r="B174">
            <v>-7.6245644475474439E-3</v>
          </cell>
          <cell r="C174">
            <v>2.6281195769359833E-3</v>
          </cell>
          <cell r="D174">
            <v>-3.2014406038638355E-3</v>
          </cell>
        </row>
        <row r="175">
          <cell r="B175">
            <v>6.1522368328896571E-2</v>
          </cell>
          <cell r="C175">
            <v>-5.3888625178004856E-2</v>
          </cell>
          <cell r="D175">
            <v>5.1492475263305304E-2</v>
          </cell>
        </row>
        <row r="176">
          <cell r="B176">
            <v>4.9608046400029027E-2</v>
          </cell>
          <cell r="C176">
            <v>-3.7760760496435175E-2</v>
          </cell>
          <cell r="D176">
            <v>4.2068471984683498E-2</v>
          </cell>
        </row>
        <row r="177">
          <cell r="B177">
            <v>2.16666579329583E-2</v>
          </cell>
          <cell r="C177">
            <v>-1.2280461031833112E-2</v>
          </cell>
          <cell r="D177">
            <v>1.9967362236682214E-2</v>
          </cell>
        </row>
        <row r="178">
          <cell r="B178">
            <v>1.9066189771405284E-2</v>
          </cell>
          <cell r="C178">
            <v>4.9218587205667852E-2</v>
          </cell>
          <cell r="D178">
            <v>1.7910441110432555E-2</v>
          </cell>
        </row>
        <row r="179">
          <cell r="B179">
            <v>3.532307920480493E-2</v>
          </cell>
          <cell r="C179">
            <v>-1.4299332697806921E-3</v>
          </cell>
          <cell r="D179">
            <v>3.0769333142663592E-2</v>
          </cell>
        </row>
        <row r="180">
          <cell r="B180">
            <v>2.2686795816517558E-2</v>
          </cell>
          <cell r="C180">
            <v>-5.0994431185361955E-2</v>
          </cell>
          <cell r="D180">
            <v>2.0774272006009099E-2</v>
          </cell>
        </row>
        <row r="181">
          <cell r="B181">
            <v>1.2994696931023508E-3</v>
          </cell>
          <cell r="C181">
            <v>7.5949367088607556E-2</v>
          </cell>
          <cell r="D181">
            <v>3.8573015975071055E-3</v>
          </cell>
        </row>
        <row r="182">
          <cell r="B182">
            <v>-5.230866528792566E-4</v>
          </cell>
          <cell r="C182">
            <v>-1.9867549668874163E-2</v>
          </cell>
          <cell r="D182">
            <v>2.4156940026688321E-3</v>
          </cell>
        </row>
        <row r="183">
          <cell r="B183">
            <v>1.9442280325868699E-2</v>
          </cell>
          <cell r="C183">
            <v>-5.5378908320084741E-2</v>
          </cell>
          <cell r="D183">
            <v>1.8207921625016804E-2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VDA"/>
      <sheetName val="S&amp;P500"/>
      <sheetName val="Sheet1"/>
      <sheetName val="Sheet2"/>
      <sheetName val="Sheet3"/>
    </sheetNames>
    <sheetDataSet>
      <sheetData sheetId="0"/>
      <sheetData sheetId="1"/>
      <sheetData sheetId="2"/>
      <sheetData sheetId="3">
        <row r="48">
          <cell r="W48">
            <v>0.3968253968253968</v>
          </cell>
          <cell r="X48">
            <v>-0.3202741332551492</v>
          </cell>
        </row>
        <row r="49">
          <cell r="W49">
            <v>1.1904761904761905</v>
          </cell>
          <cell r="X49">
            <v>-0.25160220994475146</v>
          </cell>
        </row>
        <row r="50">
          <cell r="W50">
            <v>1.984126984126984</v>
          </cell>
          <cell r="X50">
            <v>-0.24976869973667359</v>
          </cell>
        </row>
        <row r="51">
          <cell r="W51">
            <v>2.7777777777777777</v>
          </cell>
          <cell r="X51">
            <v>-0.2248256889436987</v>
          </cell>
        </row>
        <row r="52">
          <cell r="W52">
            <v>3.5714285714285712</v>
          </cell>
          <cell r="X52">
            <v>-0.19577315489598512</v>
          </cell>
        </row>
        <row r="53">
          <cell r="W53">
            <v>4.3650793650793647</v>
          </cell>
          <cell r="X53">
            <v>-0.18814267352185088</v>
          </cell>
        </row>
        <row r="54">
          <cell r="W54">
            <v>5.1587301587301591</v>
          </cell>
          <cell r="X54">
            <v>-0.18313651104448392</v>
          </cell>
        </row>
        <row r="55">
          <cell r="W55">
            <v>5.9523809523809526</v>
          </cell>
          <cell r="X55">
            <v>-0.16896988382976386</v>
          </cell>
        </row>
        <row r="56">
          <cell r="W56">
            <v>6.746031746031746</v>
          </cell>
          <cell r="X56">
            <v>-0.16745435381319917</v>
          </cell>
        </row>
        <row r="57">
          <cell r="W57">
            <v>7.5396825396825395</v>
          </cell>
          <cell r="X57">
            <v>-0.13644152927967845</v>
          </cell>
        </row>
        <row r="58">
          <cell r="W58">
            <v>8.3333333333333321</v>
          </cell>
          <cell r="X58">
            <v>-0.11865059264512201</v>
          </cell>
        </row>
        <row r="59">
          <cell r="W59">
            <v>9.1269841269841265</v>
          </cell>
          <cell r="X59">
            <v>-0.11134708737864074</v>
          </cell>
        </row>
        <row r="60">
          <cell r="W60">
            <v>9.9206349206349209</v>
          </cell>
          <cell r="X60">
            <v>-9.9920430897294632E-2</v>
          </cell>
        </row>
        <row r="61">
          <cell r="W61">
            <v>10.714285714285714</v>
          </cell>
          <cell r="X61">
            <v>-9.1278807049254396E-2</v>
          </cell>
        </row>
        <row r="62">
          <cell r="W62">
            <v>11.507936507936508</v>
          </cell>
          <cell r="X62">
            <v>-7.4558856377038185E-2</v>
          </cell>
        </row>
        <row r="63">
          <cell r="W63">
            <v>12.301587301587301</v>
          </cell>
          <cell r="X63">
            <v>-7.3648423931118479E-2</v>
          </cell>
        </row>
        <row r="64">
          <cell r="W64">
            <v>13.095238095238095</v>
          </cell>
          <cell r="X64">
            <v>-7.0525737314526382E-2</v>
          </cell>
        </row>
        <row r="65">
          <cell r="W65">
            <v>13.888888888888889</v>
          </cell>
          <cell r="X65">
            <v>-6.2507184073197108E-2</v>
          </cell>
        </row>
        <row r="66">
          <cell r="W66">
            <v>14.682539682539682</v>
          </cell>
          <cell r="X66">
            <v>-6.0628890915579547E-2</v>
          </cell>
        </row>
        <row r="67">
          <cell r="W67">
            <v>15.476190476190476</v>
          </cell>
          <cell r="X67">
            <v>-5.6094929881337685E-2</v>
          </cell>
        </row>
        <row r="68">
          <cell r="W68">
            <v>16.269841269841269</v>
          </cell>
          <cell r="X68">
            <v>-5.2776428687065002E-2</v>
          </cell>
        </row>
        <row r="69">
          <cell r="W69">
            <v>17.06349206349206</v>
          </cell>
          <cell r="X69">
            <v>-5.1450589301903937E-2</v>
          </cell>
        </row>
        <row r="70">
          <cell r="W70">
            <v>17.857142857142854</v>
          </cell>
          <cell r="X70">
            <v>-5.1413881748072043E-2</v>
          </cell>
        </row>
        <row r="71">
          <cell r="W71">
            <v>18.650793650793648</v>
          </cell>
          <cell r="X71">
            <v>-4.3872198378636207E-2</v>
          </cell>
        </row>
        <row r="72">
          <cell r="W72">
            <v>19.444444444444443</v>
          </cell>
          <cell r="X72">
            <v>-4.3760237283633541E-2</v>
          </cell>
        </row>
        <row r="73">
          <cell r="W73">
            <v>20.238095238095237</v>
          </cell>
          <cell r="X73">
            <v>-4.3016528925619801E-2</v>
          </cell>
        </row>
        <row r="74">
          <cell r="W74">
            <v>21.031746031746028</v>
          </cell>
          <cell r="X74">
            <v>-4.2504360598549562E-2</v>
          </cell>
        </row>
        <row r="75">
          <cell r="W75">
            <v>21.825396825396822</v>
          </cell>
          <cell r="X75">
            <v>-4.2144638403989965E-2</v>
          </cell>
        </row>
        <row r="76">
          <cell r="W76">
            <v>22.619047619047617</v>
          </cell>
          <cell r="X76">
            <v>-3.5922475212993854E-2</v>
          </cell>
        </row>
        <row r="77">
          <cell r="W77">
            <v>23.412698412698411</v>
          </cell>
          <cell r="X77">
            <v>-2.9495672356269043E-2</v>
          </cell>
        </row>
        <row r="78">
          <cell r="W78">
            <v>24.206349206349202</v>
          </cell>
          <cell r="X78">
            <v>-2.8887257653611997E-2</v>
          </cell>
        </row>
        <row r="79">
          <cell r="W79">
            <v>24.999999999999996</v>
          </cell>
          <cell r="X79">
            <v>-2.6705311896168205E-2</v>
          </cell>
        </row>
        <row r="80">
          <cell r="W80">
            <v>25.793650793650791</v>
          </cell>
          <cell r="X80">
            <v>-2.5855314703578047E-2</v>
          </cell>
        </row>
        <row r="81">
          <cell r="W81">
            <v>26.587301587301585</v>
          </cell>
          <cell r="X81">
            <v>-2.5571273122959814E-2</v>
          </cell>
        </row>
        <row r="82">
          <cell r="W82">
            <v>27.38095238095238</v>
          </cell>
          <cell r="X82">
            <v>-2.5171853518310305E-2</v>
          </cell>
        </row>
        <row r="83">
          <cell r="W83">
            <v>28.17460317460317</v>
          </cell>
          <cell r="X83">
            <v>-2.4210526315789349E-2</v>
          </cell>
        </row>
        <row r="84">
          <cell r="W84">
            <v>28.968253968253965</v>
          </cell>
          <cell r="X84">
            <v>-2.3956751953197353E-2</v>
          </cell>
        </row>
        <row r="85">
          <cell r="W85">
            <v>29.761904761904759</v>
          </cell>
          <cell r="X85">
            <v>-1.5459723352318933E-2</v>
          </cell>
        </row>
        <row r="86">
          <cell r="W86">
            <v>30.555555555555554</v>
          </cell>
          <cell r="X86">
            <v>-7.9562406762804239E-3</v>
          </cell>
        </row>
        <row r="87">
          <cell r="W87">
            <v>31.349206349206344</v>
          </cell>
          <cell r="X87">
            <v>-7.1716453295399551E-3</v>
          </cell>
        </row>
        <row r="88">
          <cell r="W88">
            <v>32.142857142857139</v>
          </cell>
          <cell r="X88">
            <v>-4.9980850248946274E-3</v>
          </cell>
        </row>
        <row r="89">
          <cell r="W89">
            <v>32.936507936507937</v>
          </cell>
          <cell r="X89">
            <v>-4.1248060115984808E-3</v>
          </cell>
        </row>
        <row r="90">
          <cell r="W90">
            <v>33.730158730158728</v>
          </cell>
          <cell r="X90">
            <v>-2.9285875197115896E-3</v>
          </cell>
        </row>
        <row r="91">
          <cell r="W91">
            <v>34.523809523809526</v>
          </cell>
          <cell r="X91">
            <v>-2.806623631771088E-3</v>
          </cell>
        </row>
        <row r="92">
          <cell r="W92">
            <v>35.317460317460316</v>
          </cell>
          <cell r="X92">
            <v>-1.0080282247904027E-3</v>
          </cell>
        </row>
        <row r="93">
          <cell r="W93">
            <v>36.111111111111114</v>
          </cell>
          <cell r="X93">
            <v>1.2113438791505615E-3</v>
          </cell>
        </row>
        <row r="94">
          <cell r="W94">
            <v>36.904761904761905</v>
          </cell>
          <cell r="X94">
            <v>1.4547973675094195E-3</v>
          </cell>
        </row>
        <row r="95">
          <cell r="W95">
            <v>37.698412698412696</v>
          </cell>
          <cell r="X95">
            <v>4.8023799405014778E-3</v>
          </cell>
        </row>
        <row r="96">
          <cell r="W96">
            <v>38.492063492063494</v>
          </cell>
          <cell r="X96">
            <v>6.2071917808219634E-3</v>
          </cell>
        </row>
        <row r="97">
          <cell r="W97">
            <v>39.285714285714285</v>
          </cell>
          <cell r="X97">
            <v>6.7396344422279153E-3</v>
          </cell>
        </row>
        <row r="98">
          <cell r="W98">
            <v>40.079365079365083</v>
          </cell>
          <cell r="X98">
            <v>8.0196034751616185E-3</v>
          </cell>
        </row>
        <row r="99">
          <cell r="W99">
            <v>40.873015873015873</v>
          </cell>
          <cell r="X99">
            <v>1.1663987438782719E-2</v>
          </cell>
        </row>
        <row r="100">
          <cell r="W100">
            <v>41.666666666666664</v>
          </cell>
          <cell r="X100">
            <v>2.008203725858837E-2</v>
          </cell>
        </row>
        <row r="101">
          <cell r="W101">
            <v>42.460317460317462</v>
          </cell>
          <cell r="X101">
            <v>2.2859284242083611E-2</v>
          </cell>
        </row>
        <row r="102">
          <cell r="W102">
            <v>43.253968253968253</v>
          </cell>
          <cell r="X102">
            <v>2.7339706509164063E-2</v>
          </cell>
        </row>
        <row r="103">
          <cell r="W103">
            <v>44.047619047619044</v>
          </cell>
          <cell r="X103">
            <v>2.8695181375202994E-2</v>
          </cell>
        </row>
        <row r="104">
          <cell r="W104">
            <v>44.841269841269842</v>
          </cell>
          <cell r="X104">
            <v>3.1267448352875427E-2</v>
          </cell>
        </row>
        <row r="105">
          <cell r="W105">
            <v>45.634920634920633</v>
          </cell>
          <cell r="X105">
            <v>3.3600675390460077E-2</v>
          </cell>
        </row>
        <row r="106">
          <cell r="W106">
            <v>46.428571428571431</v>
          </cell>
          <cell r="X106">
            <v>3.8528896672504365E-2</v>
          </cell>
        </row>
        <row r="107">
          <cell r="W107">
            <v>47.222222222222221</v>
          </cell>
          <cell r="X107">
            <v>3.9092055485498101E-2</v>
          </cell>
        </row>
        <row r="108">
          <cell r="W108">
            <v>48.015873015873012</v>
          </cell>
          <cell r="X108">
            <v>3.9161841084114357E-2</v>
          </cell>
        </row>
        <row r="109">
          <cell r="W109">
            <v>48.80952380952381</v>
          </cell>
          <cell r="X109">
            <v>4.2643529628945798E-2</v>
          </cell>
        </row>
        <row r="110">
          <cell r="W110">
            <v>49.603174603174601</v>
          </cell>
          <cell r="X110">
            <v>5.506373937677056E-2</v>
          </cell>
        </row>
        <row r="111">
          <cell r="W111">
            <v>50.396825396825399</v>
          </cell>
          <cell r="X111">
            <v>5.5793991416308808E-2</v>
          </cell>
        </row>
        <row r="112">
          <cell r="W112">
            <v>51.19047619047619</v>
          </cell>
          <cell r="X112">
            <v>5.6196366282180277E-2</v>
          </cell>
        </row>
        <row r="113">
          <cell r="W113">
            <v>51.984126984126981</v>
          </cell>
          <cell r="X113">
            <v>5.8841137481291383E-2</v>
          </cell>
        </row>
        <row r="114">
          <cell r="W114">
            <v>52.777777777777779</v>
          </cell>
          <cell r="X114">
            <v>5.9078590785907936E-2</v>
          </cell>
        </row>
        <row r="115">
          <cell r="W115">
            <v>53.571428571428569</v>
          </cell>
          <cell r="X115">
            <v>6.0692951015531849E-2</v>
          </cell>
        </row>
        <row r="116">
          <cell r="W116">
            <v>54.365079365079367</v>
          </cell>
          <cell r="X116">
            <v>6.9211744056167257E-2</v>
          </cell>
        </row>
        <row r="117">
          <cell r="W117">
            <v>55.158730158730158</v>
          </cell>
          <cell r="X117">
            <v>7.0108726268942601E-2</v>
          </cell>
        </row>
        <row r="118">
          <cell r="W118">
            <v>55.952380952380949</v>
          </cell>
          <cell r="X118">
            <v>7.0672584499829494E-2</v>
          </cell>
        </row>
        <row r="119">
          <cell r="W119">
            <v>56.746031746031747</v>
          </cell>
          <cell r="X119">
            <v>7.3113043478260975E-2</v>
          </cell>
        </row>
        <row r="120">
          <cell r="W120">
            <v>57.539682539682538</v>
          </cell>
          <cell r="X120">
            <v>7.3183213920163803E-2</v>
          </cell>
        </row>
        <row r="121">
          <cell r="W121">
            <v>58.333333333333336</v>
          </cell>
          <cell r="X121">
            <v>7.3413480488766281E-2</v>
          </cell>
        </row>
        <row r="122">
          <cell r="W122">
            <v>59.126984126984127</v>
          </cell>
          <cell r="X122">
            <v>7.4255691768826626E-2</v>
          </cell>
        </row>
        <row r="123">
          <cell r="W123">
            <v>59.920634920634917</v>
          </cell>
          <cell r="X123">
            <v>7.6779026217228541E-2</v>
          </cell>
        </row>
        <row r="124">
          <cell r="W124">
            <v>60.714285714285715</v>
          </cell>
          <cell r="X124">
            <v>7.8201174012536123E-2</v>
          </cell>
        </row>
        <row r="125">
          <cell r="W125">
            <v>61.507936507936506</v>
          </cell>
          <cell r="X125">
            <v>8.2281221892801293E-2</v>
          </cell>
        </row>
        <row r="126">
          <cell r="W126">
            <v>62.301587301587297</v>
          </cell>
          <cell r="X126">
            <v>8.5632555135185084E-2</v>
          </cell>
        </row>
        <row r="127">
          <cell r="W127">
            <v>63.095238095238095</v>
          </cell>
          <cell r="X127">
            <v>9.6530249110320154E-2</v>
          </cell>
        </row>
        <row r="128">
          <cell r="W128">
            <v>63.888888888888886</v>
          </cell>
          <cell r="X128">
            <v>0.10465226230438285</v>
          </cell>
        </row>
        <row r="129">
          <cell r="W129">
            <v>64.682539682539669</v>
          </cell>
          <cell r="X129">
            <v>0.10880121396054632</v>
          </cell>
        </row>
        <row r="130">
          <cell r="W130">
            <v>65.476190476190467</v>
          </cell>
          <cell r="X130">
            <v>0.11142857142857143</v>
          </cell>
        </row>
        <row r="131">
          <cell r="W131">
            <v>66.269841269841265</v>
          </cell>
          <cell r="X131">
            <v>0.11187082955762429</v>
          </cell>
        </row>
        <row r="132">
          <cell r="W132">
            <v>67.063492063492049</v>
          </cell>
          <cell r="X132">
            <v>0.11705249429409847</v>
          </cell>
        </row>
        <row r="133">
          <cell r="W133">
            <v>67.857142857142847</v>
          </cell>
          <cell r="X133">
            <v>0.11760680161090797</v>
          </cell>
        </row>
        <row r="134">
          <cell r="W134">
            <v>68.650793650793645</v>
          </cell>
          <cell r="X134">
            <v>0.11808248149453648</v>
          </cell>
        </row>
        <row r="135">
          <cell r="W135">
            <v>69.444444444444429</v>
          </cell>
          <cell r="X135">
            <v>0.11809483533329801</v>
          </cell>
        </row>
        <row r="136">
          <cell r="W136">
            <v>70.238095238095227</v>
          </cell>
          <cell r="X136">
            <v>0.11896657781423015</v>
          </cell>
        </row>
        <row r="137">
          <cell r="W137">
            <v>71.031746031746025</v>
          </cell>
          <cell r="X137">
            <v>0.12134281903068045</v>
          </cell>
        </row>
        <row r="138">
          <cell r="W138">
            <v>71.825396825396822</v>
          </cell>
          <cell r="X138">
            <v>0.12416989485334828</v>
          </cell>
        </row>
        <row r="139">
          <cell r="W139">
            <v>72.619047619047606</v>
          </cell>
          <cell r="X139">
            <v>0.12445451650965467</v>
          </cell>
        </row>
        <row r="140">
          <cell r="W140">
            <v>73.412698412698404</v>
          </cell>
          <cell r="X140">
            <v>0.12681704260651627</v>
          </cell>
        </row>
        <row r="141">
          <cell r="W141">
            <v>74.206349206349202</v>
          </cell>
          <cell r="X141">
            <v>0.12685049209635801</v>
          </cell>
        </row>
        <row r="142">
          <cell r="W142">
            <v>74.999999999999986</v>
          </cell>
          <cell r="X142">
            <v>0.13616071428571419</v>
          </cell>
        </row>
        <row r="143">
          <cell r="W143">
            <v>75.793650793650784</v>
          </cell>
          <cell r="X143">
            <v>0.14212761654363426</v>
          </cell>
        </row>
        <row r="144">
          <cell r="W144">
            <v>76.587301587301582</v>
          </cell>
          <cell r="X144">
            <v>0.14228312819862121</v>
          </cell>
        </row>
        <row r="145">
          <cell r="W145">
            <v>77.380952380952365</v>
          </cell>
          <cell r="X145">
            <v>0.14628767458956138</v>
          </cell>
        </row>
        <row r="146">
          <cell r="W146">
            <v>78.174603174603163</v>
          </cell>
          <cell r="X146">
            <v>0.14688572829818547</v>
          </cell>
        </row>
        <row r="147">
          <cell r="W147">
            <v>78.968253968253961</v>
          </cell>
          <cell r="X147">
            <v>0.14800759013282749</v>
          </cell>
        </row>
        <row r="148">
          <cell r="W148">
            <v>79.761904761904759</v>
          </cell>
          <cell r="X148">
            <v>0.14865920333246541</v>
          </cell>
        </row>
        <row r="149">
          <cell r="W149">
            <v>80.555555555555543</v>
          </cell>
          <cell r="X149">
            <v>0.15091277890466537</v>
          </cell>
        </row>
        <row r="150">
          <cell r="W150">
            <v>81.349206349206341</v>
          </cell>
          <cell r="X150">
            <v>0.15482277244786591</v>
          </cell>
        </row>
        <row r="151">
          <cell r="W151">
            <v>82.142857142857139</v>
          </cell>
          <cell r="X151">
            <v>0.15684958326341114</v>
          </cell>
        </row>
        <row r="152">
          <cell r="W152">
            <v>82.936507936507923</v>
          </cell>
          <cell r="X152">
            <v>0.15770065075921891</v>
          </cell>
        </row>
        <row r="153">
          <cell r="W153">
            <v>83.73015873015872</v>
          </cell>
          <cell r="X153">
            <v>0.1640088162841955</v>
          </cell>
        </row>
        <row r="154">
          <cell r="W154">
            <v>84.523809523809518</v>
          </cell>
          <cell r="X154">
            <v>0.18830936172390866</v>
          </cell>
        </row>
        <row r="155">
          <cell r="W155">
            <v>85.317460317460302</v>
          </cell>
          <cell r="X155">
            <v>0.19645933838731899</v>
          </cell>
        </row>
        <row r="156">
          <cell r="W156">
            <v>86.1111111111111</v>
          </cell>
          <cell r="X156">
            <v>0.19816610594366368</v>
          </cell>
        </row>
        <row r="157">
          <cell r="W157">
            <v>86.904761904761898</v>
          </cell>
          <cell r="X157">
            <v>0.21238742064077942</v>
          </cell>
        </row>
        <row r="158">
          <cell r="W158">
            <v>87.698412698412682</v>
          </cell>
          <cell r="X158">
            <v>0.21463518400340353</v>
          </cell>
        </row>
        <row r="159">
          <cell r="W159">
            <v>88.49206349206348</v>
          </cell>
          <cell r="X159">
            <v>0.21465717804844675</v>
          </cell>
        </row>
        <row r="160">
          <cell r="W160">
            <v>89.285714285714278</v>
          </cell>
          <cell r="X160">
            <v>0.23133983809904901</v>
          </cell>
        </row>
        <row r="161">
          <cell r="W161">
            <v>90.079365079365076</v>
          </cell>
          <cell r="X161">
            <v>0.23416682757289053</v>
          </cell>
        </row>
        <row r="162">
          <cell r="W162">
            <v>90.873015873015859</v>
          </cell>
          <cell r="X162">
            <v>0.24241751140907075</v>
          </cell>
        </row>
        <row r="163">
          <cell r="W163">
            <v>91.666666666666657</v>
          </cell>
          <cell r="X163">
            <v>0.25383418537452762</v>
          </cell>
        </row>
        <row r="164">
          <cell r="W164">
            <v>92.460317460317455</v>
          </cell>
          <cell r="X164">
            <v>0.25999199227490033</v>
          </cell>
        </row>
        <row r="165">
          <cell r="W165">
            <v>93.253968253968239</v>
          </cell>
          <cell r="X165">
            <v>0.2688710909469687</v>
          </cell>
        </row>
        <row r="166">
          <cell r="W166">
            <v>94.047619047619037</v>
          </cell>
          <cell r="X166">
            <v>0.27028423772609811</v>
          </cell>
        </row>
        <row r="167">
          <cell r="W167">
            <v>94.841269841269835</v>
          </cell>
          <cell r="X167">
            <v>0.27805374115070225</v>
          </cell>
        </row>
        <row r="168">
          <cell r="W168">
            <v>95.634920634920618</v>
          </cell>
          <cell r="X168">
            <v>0.2858094820160253</v>
          </cell>
        </row>
        <row r="169">
          <cell r="W169">
            <v>96.428571428571416</v>
          </cell>
          <cell r="X169">
            <v>0.29567172568858924</v>
          </cell>
        </row>
        <row r="170">
          <cell r="W170">
            <v>97.222222222222214</v>
          </cell>
          <cell r="X170">
            <v>0.31494511680270199</v>
          </cell>
        </row>
        <row r="171">
          <cell r="W171">
            <v>98.015873015873012</v>
          </cell>
          <cell r="X171">
            <v>0.33686875598740929</v>
          </cell>
        </row>
        <row r="172">
          <cell r="W172">
            <v>98.809523809523796</v>
          </cell>
          <cell r="X172">
            <v>0.36343652023496364</v>
          </cell>
        </row>
        <row r="173">
          <cell r="W173">
            <v>99.603174603174594</v>
          </cell>
          <cell r="X173">
            <v>0.38398849472674979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483B-4C4A-FA4B-98BE-5605D9417DAA}">
  <dimension ref="A1:Z173"/>
  <sheetViews>
    <sheetView tabSelected="1" topLeftCell="I1" workbookViewId="0">
      <selection activeCell="Q24" sqref="Q24:AI173"/>
    </sheetView>
  </sheetViews>
  <sheetFormatPr baseColWidth="10" defaultColWidth="8.83203125" defaultRowHeight="16" x14ac:dyDescent="0.2"/>
  <cols>
    <col min="1" max="1" width="11.83203125" bestFit="1" customWidth="1"/>
    <col min="3" max="3" width="8.83203125" style="1"/>
    <col min="8" max="8" width="12" bestFit="1" customWidth="1"/>
    <col min="11" max="11" width="13.33203125" bestFit="1" customWidth="1"/>
    <col min="12" max="12" width="13.5" bestFit="1" customWidth="1"/>
    <col min="16" max="16" width="18.5" bestFit="1" customWidth="1"/>
  </cols>
  <sheetData>
    <row r="1" spans="1:13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2">
      <c r="A2" s="2">
        <v>40574</v>
      </c>
      <c r="B2" s="1">
        <v>4.3118460223648701E-2</v>
      </c>
      <c r="C2" s="1">
        <v>0.17070063694267512</v>
      </c>
      <c r="D2" s="3">
        <f>B2*$L$8+$L$9</f>
        <v>0.11435762166872475</v>
      </c>
      <c r="E2" s="4">
        <f>B2-$L$2</f>
        <v>3.3073042804319594E-2</v>
      </c>
      <c r="F2">
        <f>E2^2</f>
        <v>1.0938261603363562E-3</v>
      </c>
      <c r="G2" s="4">
        <f>C2-D2</f>
        <v>5.6343015273950373E-2</v>
      </c>
      <c r="H2">
        <f>G2^2</f>
        <v>3.1745353701606049E-3</v>
      </c>
      <c r="I2">
        <f>B2^2</f>
        <v>1.8592016120583751E-3</v>
      </c>
      <c r="K2" t="s">
        <v>9</v>
      </c>
      <c r="L2" s="4">
        <f>AVERAGE(B2:B128)</f>
        <v>1.0045417419329111E-2</v>
      </c>
    </row>
    <row r="3" spans="1:13" x14ac:dyDescent="0.2">
      <c r="A3" s="2">
        <v>40602</v>
      </c>
      <c r="B3" s="1">
        <v>6.9299048525690576E-3</v>
      </c>
      <c r="C3" s="1">
        <v>-2.5571273122959814E-2</v>
      </c>
      <c r="D3" s="3">
        <f t="shared" ref="D3:D66" si="0">B3*$L$8+$L$9</f>
        <v>4.8879379251981436E-2</v>
      </c>
      <c r="E3" s="4">
        <f t="shared" ref="E3:E66" si="1">B3-$L$2</f>
        <v>-3.1155125667600529E-3</v>
      </c>
      <c r="F3">
        <f t="shared" ref="F3:F66" si="2">E3^2</f>
        <v>9.7064185536398129E-6</v>
      </c>
      <c r="G3" s="4">
        <f t="shared" ref="G3:G66" si="3">C3-D3</f>
        <v>-7.4450652374941251E-2</v>
      </c>
      <c r="H3">
        <f t="shared" ref="H3:H66" si="4">G3^2</f>
        <v>5.5428996390543455E-3</v>
      </c>
      <c r="I3">
        <f t="shared" ref="I3:I66" si="5">B3^2</f>
        <v>4.8023581265660175E-5</v>
      </c>
      <c r="K3" t="s">
        <v>10</v>
      </c>
      <c r="L3" s="4">
        <f>AVERAGE(C2:C128)</f>
        <v>5.4516473217377792E-2</v>
      </c>
    </row>
    <row r="4" spans="1:13" x14ac:dyDescent="0.2">
      <c r="A4" s="2">
        <v>40633</v>
      </c>
      <c r="B4" s="1">
        <v>6.2034572293734325E-3</v>
      </c>
      <c r="C4" s="1">
        <v>3.1267448352875427E-2</v>
      </c>
      <c r="D4" s="3">
        <f t="shared" si="0"/>
        <v>4.7564971614347931E-2</v>
      </c>
      <c r="E4" s="4">
        <f t="shared" si="1"/>
        <v>-3.8419601899556781E-3</v>
      </c>
      <c r="F4">
        <f t="shared" si="2"/>
        <v>1.476065810120427E-5</v>
      </c>
      <c r="G4" s="4">
        <f t="shared" si="3"/>
        <v>-1.6297523261472505E-2</v>
      </c>
      <c r="H4">
        <f t="shared" si="4"/>
        <v>2.6560926445823741E-4</v>
      </c>
      <c r="I4">
        <f t="shared" si="5"/>
        <v>3.8482881596665504E-5</v>
      </c>
    </row>
    <row r="5" spans="1:13" x14ac:dyDescent="0.2">
      <c r="A5" s="2">
        <v>40663</v>
      </c>
      <c r="B5" s="1">
        <v>2.1031623713360315E-2</v>
      </c>
      <c r="C5" s="1">
        <v>2.8695181375202994E-2</v>
      </c>
      <c r="D5" s="3">
        <f t="shared" si="0"/>
        <v>7.4394511220956305E-2</v>
      </c>
      <c r="E5" s="4">
        <f t="shared" si="1"/>
        <v>1.0986206294031204E-2</v>
      </c>
      <c r="F5">
        <f t="shared" si="2"/>
        <v>1.2069672873501084E-4</v>
      </c>
      <c r="G5" s="4">
        <f t="shared" si="3"/>
        <v>-4.5699329845753311E-2</v>
      </c>
      <c r="H5">
        <f t="shared" si="4"/>
        <v>2.0884287483509596E-3</v>
      </c>
      <c r="I5">
        <f t="shared" si="5"/>
        <v>4.4232919602037993E-4</v>
      </c>
      <c r="K5" t="s">
        <v>11</v>
      </c>
      <c r="L5">
        <f>_xlfn.STDEV.S(B2:B128)</f>
        <v>4.3037084440981428E-2</v>
      </c>
    </row>
    <row r="6" spans="1:13" x14ac:dyDescent="0.2">
      <c r="A6" s="2">
        <v>40694</v>
      </c>
      <c r="B6" s="1">
        <v>1.9057548724431106E-2</v>
      </c>
      <c r="C6" s="1">
        <v>-2.4210526315789349E-2</v>
      </c>
      <c r="D6" s="3">
        <f t="shared" si="0"/>
        <v>7.0822692469184989E-2</v>
      </c>
      <c r="E6" s="4">
        <f t="shared" si="1"/>
        <v>9.0121313051019954E-3</v>
      </c>
      <c r="F6">
        <f t="shared" si="2"/>
        <v>8.1218510660399391E-5</v>
      </c>
      <c r="G6" s="4">
        <f t="shared" si="3"/>
        <v>-9.5033218784974338E-2</v>
      </c>
      <c r="H6">
        <f t="shared" si="4"/>
        <v>9.0313126726327998E-3</v>
      </c>
      <c r="I6">
        <f t="shared" si="5"/>
        <v>3.6319016338406566E-4</v>
      </c>
      <c r="K6" t="s">
        <v>12</v>
      </c>
      <c r="L6">
        <f>_xlfn.COVARIANCE.S(B2:B128,C2:C128)</f>
        <v>3.3512856840985012E-3</v>
      </c>
    </row>
    <row r="7" spans="1:13" x14ac:dyDescent="0.2">
      <c r="A7" s="2">
        <v>40724</v>
      </c>
      <c r="B7" s="1">
        <v>-1.5078511662157346E-2</v>
      </c>
      <c r="C7" s="1">
        <v>-5.6094929881337685E-2</v>
      </c>
      <c r="D7" s="3">
        <f t="shared" si="0"/>
        <v>9.0581590628064888E-3</v>
      </c>
      <c r="E7" s="4">
        <f t="shared" si="1"/>
        <v>-2.5123929081486456E-2</v>
      </c>
      <c r="F7">
        <f t="shared" si="2"/>
        <v>6.3121181249156091E-4</v>
      </c>
      <c r="G7" s="4">
        <f t="shared" si="3"/>
        <v>-6.5153088944144177E-2</v>
      </c>
      <c r="H7">
        <f t="shared" si="4"/>
        <v>4.2449249989635627E-3</v>
      </c>
      <c r="I7">
        <f t="shared" si="5"/>
        <v>2.2736151394581509E-4</v>
      </c>
    </row>
    <row r="8" spans="1:13" x14ac:dyDescent="0.2">
      <c r="A8" s="2">
        <v>40755</v>
      </c>
      <c r="B8" s="1">
        <v>3.7652047716220105E-2</v>
      </c>
      <c r="C8" s="1">
        <v>0.11142857142857143</v>
      </c>
      <c r="D8" s="3">
        <f t="shared" si="0"/>
        <v>0.1044668957295133</v>
      </c>
      <c r="E8" s="4">
        <f t="shared" si="1"/>
        <v>2.7606630296890994E-2</v>
      </c>
      <c r="F8">
        <f t="shared" si="2"/>
        <v>7.6212603634921976E-4</v>
      </c>
      <c r="G8" s="4">
        <f t="shared" si="3"/>
        <v>6.9616756990581313E-3</v>
      </c>
      <c r="H8">
        <f t="shared" si="4"/>
        <v>4.8464928538856524E-5</v>
      </c>
      <c r="I8">
        <f t="shared" si="5"/>
        <v>1.4176766972245156E-3</v>
      </c>
      <c r="K8" t="s">
        <v>13</v>
      </c>
      <c r="L8" s="5">
        <f>L6/L5^2</f>
        <v>1.8093632571216351</v>
      </c>
    </row>
    <row r="9" spans="1:13" x14ac:dyDescent="0.2">
      <c r="A9" s="2">
        <v>40786</v>
      </c>
      <c r="B9" s="1">
        <v>-1.55151500505194E-2</v>
      </c>
      <c r="C9" s="1">
        <v>-5.1413881748072043E-2</v>
      </c>
      <c r="D9" s="3">
        <f t="shared" si="0"/>
        <v>8.268121606255379E-3</v>
      </c>
      <c r="E9" s="4">
        <f t="shared" si="1"/>
        <v>-2.556056746984851E-2</v>
      </c>
      <c r="F9">
        <f t="shared" si="2"/>
        <v>6.5334260938067787E-4</v>
      </c>
      <c r="G9" s="4">
        <f t="shared" si="3"/>
        <v>-5.9682003354327426E-2</v>
      </c>
      <c r="H9">
        <f t="shared" si="4"/>
        <v>3.5619415243859499E-3</v>
      </c>
      <c r="I9">
        <f t="shared" si="5"/>
        <v>2.4071988109013214E-4</v>
      </c>
      <c r="K9" t="s">
        <v>14</v>
      </c>
      <c r="L9" s="6">
        <f>L3-L8*L2</f>
        <v>3.6340664036394063E-2</v>
      </c>
    </row>
    <row r="10" spans="1:13" x14ac:dyDescent="0.2">
      <c r="A10" s="2">
        <v>40816</v>
      </c>
      <c r="B10" s="1">
        <v>2.3206258162649318E-2</v>
      </c>
      <c r="C10" s="1">
        <v>5.9078590785907936E-2</v>
      </c>
      <c r="D10" s="3">
        <f t="shared" si="0"/>
        <v>7.8329214891170756E-2</v>
      </c>
      <c r="E10" s="4">
        <f t="shared" si="1"/>
        <v>1.3160840743320208E-2</v>
      </c>
      <c r="F10">
        <f t="shared" si="2"/>
        <v>1.732077290710372E-4</v>
      </c>
      <c r="G10" s="4">
        <f t="shared" si="3"/>
        <v>-1.925062410526282E-2</v>
      </c>
      <c r="H10">
        <f t="shared" si="4"/>
        <v>3.7058652844212595E-4</v>
      </c>
      <c r="I10">
        <f t="shared" si="5"/>
        <v>5.3853041791152815E-4</v>
      </c>
    </row>
    <row r="11" spans="1:13" x14ac:dyDescent="0.2">
      <c r="A11" s="2">
        <v>40847</v>
      </c>
      <c r="B11" s="1">
        <v>2.4532311268006479E-2</v>
      </c>
      <c r="C11" s="1">
        <v>7.3183213920163803E-2</v>
      </c>
      <c r="D11" s="3">
        <f t="shared" si="0"/>
        <v>8.0728526656996064E-2</v>
      </c>
      <c r="E11" s="4">
        <f t="shared" si="1"/>
        <v>1.4486893848677369E-2</v>
      </c>
      <c r="F11">
        <f t="shared" si="2"/>
        <v>2.0987009338284618E-4</v>
      </c>
      <c r="G11" s="4">
        <f t="shared" si="3"/>
        <v>-7.5453127368322603E-3</v>
      </c>
      <c r="H11">
        <f t="shared" si="4"/>
        <v>5.6931744296603138E-5</v>
      </c>
      <c r="I11">
        <f t="shared" si="5"/>
        <v>6.0183429615035769E-4</v>
      </c>
      <c r="K11" t="s">
        <v>15</v>
      </c>
      <c r="L11">
        <f>COUNT(B2:B128)</f>
        <v>127</v>
      </c>
    </row>
    <row r="12" spans="1:13" x14ac:dyDescent="0.2">
      <c r="A12" s="2">
        <v>40877</v>
      </c>
      <c r="B12" s="1">
        <v>-4.1883462182201736E-3</v>
      </c>
      <c r="C12" s="1">
        <v>-4.3872198378636207E-2</v>
      </c>
      <c r="D12" s="3">
        <f t="shared" si="0"/>
        <v>2.8762424281042129E-2</v>
      </c>
      <c r="E12" s="4">
        <f t="shared" si="1"/>
        <v>-1.4233763637549284E-2</v>
      </c>
      <c r="F12">
        <f t="shared" si="2"/>
        <v>2.0260002728962023E-4</v>
      </c>
      <c r="G12" s="4">
        <f t="shared" si="3"/>
        <v>-7.2634622659678336E-2</v>
      </c>
      <c r="H12">
        <f t="shared" si="4"/>
        <v>5.2757884089138576E-3</v>
      </c>
      <c r="I12">
        <f t="shared" si="5"/>
        <v>1.7542244043679229E-5</v>
      </c>
    </row>
    <row r="13" spans="1:13" x14ac:dyDescent="0.2">
      <c r="A13" s="2">
        <v>40908</v>
      </c>
      <c r="B13" s="1">
        <v>-3.1041766456985753E-2</v>
      </c>
      <c r="C13" s="1">
        <v>-4.2144638403989965E-2</v>
      </c>
      <c r="D13" s="3">
        <f t="shared" si="0"/>
        <v>-1.9825167627026796E-2</v>
      </c>
      <c r="E13" s="4">
        <f t="shared" si="1"/>
        <v>-4.1087183876314867E-2</v>
      </c>
      <c r="F13">
        <f t="shared" si="2"/>
        <v>1.6881566788861085E-3</v>
      </c>
      <c r="G13" s="4">
        <f t="shared" si="3"/>
        <v>-2.2319470776963168E-2</v>
      </c>
      <c r="H13">
        <f t="shared" si="4"/>
        <v>4.9815877576371288E-4</v>
      </c>
      <c r="I13">
        <f t="shared" si="5"/>
        <v>9.6359126477004581E-4</v>
      </c>
      <c r="K13" t="s">
        <v>16</v>
      </c>
      <c r="L13">
        <f>SQRT(SUM(H2:H128)/(L11-2))</f>
        <v>0.10754893845366953</v>
      </c>
      <c r="M13">
        <f>L13^2</f>
        <v>1.1566774162511196E-2</v>
      </c>
    </row>
    <row r="14" spans="1:13" x14ac:dyDescent="0.2">
      <c r="A14" s="2">
        <v>40939</v>
      </c>
      <c r="B14" s="1">
        <v>5.4893916586232772E-2</v>
      </c>
      <c r="C14" s="1">
        <v>0.14865920333246541</v>
      </c>
      <c r="D14" s="3">
        <f t="shared" si="0"/>
        <v>0.13566369974702353</v>
      </c>
      <c r="E14" s="4">
        <f t="shared" si="1"/>
        <v>4.4848499166903658E-2</v>
      </c>
      <c r="F14">
        <f t="shared" si="2"/>
        <v>2.011387877523758E-3</v>
      </c>
      <c r="G14" s="4">
        <f t="shared" si="3"/>
        <v>1.2995503585441881E-2</v>
      </c>
      <c r="H14">
        <f t="shared" si="4"/>
        <v>1.688831134392328E-4</v>
      </c>
      <c r="I14">
        <f t="shared" si="5"/>
        <v>3.0133420781762814E-3</v>
      </c>
    </row>
    <row r="15" spans="1:13" x14ac:dyDescent="0.2">
      <c r="A15" s="2">
        <v>40968</v>
      </c>
      <c r="B15" s="1">
        <v>-1.7398884310388607E-2</v>
      </c>
      <c r="C15" s="1">
        <v>-5.1450589301903937E-2</v>
      </c>
      <c r="D15" s="3">
        <f t="shared" si="0"/>
        <v>4.8597620502668151E-3</v>
      </c>
      <c r="E15" s="4">
        <f t="shared" si="1"/>
        <v>-2.7444301729717718E-2</v>
      </c>
      <c r="F15">
        <f t="shared" si="2"/>
        <v>7.5318969743178694E-4</v>
      </c>
      <c r="G15" s="4">
        <f t="shared" si="3"/>
        <v>-5.6310351352170752E-2</v>
      </c>
      <c r="H15">
        <f t="shared" si="4"/>
        <v>3.1708556694049184E-3</v>
      </c>
      <c r="I15">
        <f t="shared" si="5"/>
        <v>3.0272117524628682E-4</v>
      </c>
      <c r="K15" t="s">
        <v>17</v>
      </c>
      <c r="L15" s="7">
        <f>L13*SQRT(SUM(I2:I128)/(L11*SUM(F2:F128)))</f>
        <v>9.8019572871240225E-3</v>
      </c>
    </row>
    <row r="16" spans="1:13" x14ac:dyDescent="0.2">
      <c r="A16" s="2">
        <v>40999</v>
      </c>
      <c r="B16" s="1">
        <v>8.52387508934771E-3</v>
      </c>
      <c r="C16" s="1">
        <v>6.0692951015531849E-2</v>
      </c>
      <c r="D16" s="3">
        <f t="shared" si="0"/>
        <v>5.1763450431354205E-2</v>
      </c>
      <c r="E16" s="4">
        <f t="shared" si="1"/>
        <v>-1.5215423299814006E-3</v>
      </c>
      <c r="F16">
        <f t="shared" si="2"/>
        <v>2.3150910619252291E-6</v>
      </c>
      <c r="G16" s="4">
        <f t="shared" si="3"/>
        <v>8.9295005841776437E-3</v>
      </c>
      <c r="H16">
        <f t="shared" si="4"/>
        <v>7.9735980682828884E-5</v>
      </c>
      <c r="I16">
        <f t="shared" si="5"/>
        <v>7.2656446538802425E-5</v>
      </c>
      <c r="K16" t="s">
        <v>18</v>
      </c>
      <c r="L16" s="8">
        <f>L13*SQRT(1/SUM(F2:F128))</f>
        <v>0.22262709188946106</v>
      </c>
    </row>
    <row r="17" spans="1:19" x14ac:dyDescent="0.2">
      <c r="A17" s="2">
        <v>41029</v>
      </c>
      <c r="B17" s="1">
        <v>1.0489466239135492E-2</v>
      </c>
      <c r="C17" s="1">
        <v>-2.9285875197115896E-3</v>
      </c>
      <c r="D17" s="3">
        <f t="shared" si="0"/>
        <v>5.5319918836303689E-2</v>
      </c>
      <c r="E17" s="4">
        <f t="shared" si="1"/>
        <v>4.4404881980638147E-4</v>
      </c>
      <c r="F17">
        <f t="shared" si="2"/>
        <v>1.9717935437144023E-7</v>
      </c>
      <c r="G17" s="4">
        <f t="shared" si="3"/>
        <v>-5.8248506356015278E-2</v>
      </c>
      <c r="H17">
        <f t="shared" si="4"/>
        <v>3.3928884927067523E-3</v>
      </c>
      <c r="I17">
        <f t="shared" si="5"/>
        <v>1.1002890198196328E-4</v>
      </c>
    </row>
    <row r="18" spans="1:19" x14ac:dyDescent="0.2">
      <c r="A18" s="2">
        <v>41060</v>
      </c>
      <c r="B18" s="1">
        <v>-2.101070755318124E-2</v>
      </c>
      <c r="C18" s="1">
        <v>-9.1278807049254396E-2</v>
      </c>
      <c r="D18" s="3">
        <f t="shared" si="0"/>
        <v>-1.6753382164600844E-3</v>
      </c>
      <c r="E18" s="4">
        <f t="shared" si="1"/>
        <v>-3.1056124972510351E-2</v>
      </c>
      <c r="F18">
        <f t="shared" si="2"/>
        <v>9.64482898308181E-4</v>
      </c>
      <c r="G18" s="4">
        <f t="shared" si="3"/>
        <v>-8.9603468832794311E-2</v>
      </c>
      <c r="H18">
        <f t="shared" si="4"/>
        <v>8.0287816268695411E-3</v>
      </c>
      <c r="I18">
        <f t="shared" si="5"/>
        <v>4.4144983188530723E-4</v>
      </c>
      <c r="L18" t="s">
        <v>19</v>
      </c>
      <c r="M18" t="s">
        <v>20</v>
      </c>
    </row>
    <row r="19" spans="1:19" x14ac:dyDescent="0.2">
      <c r="A19" s="2">
        <v>41090</v>
      </c>
      <c r="B19" s="1">
        <v>1.9738887770079039E-2</v>
      </c>
      <c r="C19" s="1">
        <v>-7.9562406762804239E-3</v>
      </c>
      <c r="D19" s="3">
        <f t="shared" si="0"/>
        <v>7.2055482304022672E-2</v>
      </c>
      <c r="E19" s="4">
        <f t="shared" si="1"/>
        <v>9.6934703507499283E-3</v>
      </c>
      <c r="F19">
        <f t="shared" si="2"/>
        <v>9.3963367440867942E-5</v>
      </c>
      <c r="G19" s="4">
        <f t="shared" si="3"/>
        <v>-8.0011722980303096E-2</v>
      </c>
      <c r="H19">
        <f t="shared" si="4"/>
        <v>6.4018758142767628E-3</v>
      </c>
      <c r="I19">
        <f t="shared" si="5"/>
        <v>3.8962369039977583E-4</v>
      </c>
      <c r="K19" t="s">
        <v>21</v>
      </c>
      <c r="L19">
        <f>L8/L16</f>
        <v>8.1273273695728872</v>
      </c>
      <c r="M19">
        <f>(L8-1)/L16</f>
        <v>3.6355110703395463</v>
      </c>
    </row>
    <row r="20" spans="1:19" x14ac:dyDescent="0.2">
      <c r="A20" s="2">
        <v>41121</v>
      </c>
      <c r="B20" s="1">
        <v>-6.2576510789646766E-2</v>
      </c>
      <c r="C20" s="1">
        <v>0.12681704260651627</v>
      </c>
      <c r="D20" s="3">
        <f t="shared" si="0"/>
        <v>-7.6882975345268362E-2</v>
      </c>
      <c r="E20" s="4">
        <f t="shared" si="1"/>
        <v>-7.2621928208975881E-2</v>
      </c>
      <c r="F20">
        <f t="shared" si="2"/>
        <v>5.2739444567896469E-3</v>
      </c>
      <c r="G20" s="4">
        <f t="shared" si="3"/>
        <v>0.20370001795178463</v>
      </c>
      <c r="H20">
        <f t="shared" si="4"/>
        <v>4.1493697313557384E-2</v>
      </c>
      <c r="I20">
        <f t="shared" si="5"/>
        <v>3.9158197026067784E-3</v>
      </c>
      <c r="K20" t="s">
        <v>22</v>
      </c>
      <c r="L20" s="9">
        <f>L9/L15</f>
        <v>3.7074905523340353</v>
      </c>
    </row>
    <row r="21" spans="1:19" x14ac:dyDescent="0.2">
      <c r="A21" s="2">
        <v>41152</v>
      </c>
      <c r="B21" s="1">
        <v>-2.6446882672691241E-2</v>
      </c>
      <c r="C21" s="1">
        <v>9.6530249110320154E-2</v>
      </c>
      <c r="D21" s="3">
        <f t="shared" si="0"/>
        <v>-1.1511353736980298E-2</v>
      </c>
      <c r="E21" s="4">
        <f t="shared" si="1"/>
        <v>-3.6492300092020355E-2</v>
      </c>
      <c r="F21">
        <f t="shared" si="2"/>
        <v>1.3316879660060688E-3</v>
      </c>
      <c r="G21" s="4">
        <f t="shared" si="3"/>
        <v>0.10804160284730045</v>
      </c>
      <c r="H21">
        <f t="shared" si="4"/>
        <v>1.1672987945813802E-2</v>
      </c>
      <c r="I21">
        <f t="shared" si="5"/>
        <v>6.9943760310309624E-4</v>
      </c>
    </row>
    <row r="22" spans="1:19" x14ac:dyDescent="0.2">
      <c r="A22" s="2">
        <v>41182</v>
      </c>
      <c r="B22" s="1">
        <v>8.2984938771496264E-2</v>
      </c>
      <c r="C22" s="1">
        <v>0.15091277890466537</v>
      </c>
      <c r="D22" s="3">
        <f t="shared" si="0"/>
        <v>0.18649056314402801</v>
      </c>
      <c r="E22" s="4">
        <f t="shared" si="1"/>
        <v>7.293952135216715E-2</v>
      </c>
      <c r="F22">
        <f t="shared" si="2"/>
        <v>5.3201737750832477E-3</v>
      </c>
      <c r="G22" s="4">
        <f t="shared" si="3"/>
        <v>-3.5577784239362642E-2</v>
      </c>
      <c r="H22">
        <f t="shared" si="4"/>
        <v>1.2657787313826408E-3</v>
      </c>
      <c r="I22">
        <f t="shared" si="5"/>
        <v>6.8865000629089838E-3</v>
      </c>
      <c r="K22" t="s">
        <v>23</v>
      </c>
      <c r="L22" s="10">
        <f>_xlfn.T.INV(0.975,L11-2)</f>
        <v>1.9791241094237992</v>
      </c>
      <c r="M22" s="11">
        <v>0.95</v>
      </c>
    </row>
    <row r="23" spans="1:19" x14ac:dyDescent="0.2">
      <c r="A23" s="2">
        <v>41213</v>
      </c>
      <c r="B23" s="1">
        <v>5.0351609765897365E-4</v>
      </c>
      <c r="C23" s="1">
        <v>0.11808248149453648</v>
      </c>
      <c r="D23" s="3">
        <f t="shared" si="0"/>
        <v>3.7251707562867477E-2</v>
      </c>
      <c r="E23" s="4">
        <f t="shared" si="1"/>
        <v>-9.5419013216701369E-3</v>
      </c>
      <c r="F23">
        <f t="shared" si="2"/>
        <v>9.1047880832490304E-5</v>
      </c>
      <c r="G23" s="4">
        <f t="shared" si="3"/>
        <v>8.0830773931669014E-2</v>
      </c>
      <c r="H23">
        <f t="shared" si="4"/>
        <v>6.5336140143925827E-3</v>
      </c>
      <c r="I23">
        <f t="shared" si="5"/>
        <v>2.5352846060172108E-7</v>
      </c>
      <c r="L23" s="10">
        <f>_xlfn.T.INV(0.995,L11-2)</f>
        <v>2.6157333766451458</v>
      </c>
      <c r="M23" s="11">
        <v>0.99</v>
      </c>
    </row>
    <row r="24" spans="1:19" x14ac:dyDescent="0.2">
      <c r="A24" s="2">
        <v>41243</v>
      </c>
      <c r="B24" s="1">
        <v>-1.7530208734062636E-2</v>
      </c>
      <c r="C24" s="1">
        <v>3.9092055485498101E-2</v>
      </c>
      <c r="D24" s="3">
        <f t="shared" si="0"/>
        <v>4.6221484633083565E-3</v>
      </c>
      <c r="E24" s="4">
        <f t="shared" si="1"/>
        <v>-2.7575626153391746E-2</v>
      </c>
      <c r="F24">
        <f t="shared" si="2"/>
        <v>7.6041515775162282E-4</v>
      </c>
      <c r="G24" s="4">
        <f t="shared" si="3"/>
        <v>3.4469907022189744E-2</v>
      </c>
      <c r="H24">
        <f t="shared" si="4"/>
        <v>1.1881744901184059E-3</v>
      </c>
      <c r="I24">
        <f t="shared" si="5"/>
        <v>3.0730821825980591E-4</v>
      </c>
    </row>
    <row r="25" spans="1:19" ht="17" thickBot="1" x14ac:dyDescent="0.25">
      <c r="A25" s="2">
        <v>41274</v>
      </c>
      <c r="B25" s="1">
        <v>-5.0734045036633701E-2</v>
      </c>
      <c r="C25" s="1">
        <v>-0.11134708737864074</v>
      </c>
      <c r="D25" s="3">
        <f t="shared" si="0"/>
        <v>-5.5455652938045219E-2</v>
      </c>
      <c r="E25" s="4">
        <f t="shared" si="1"/>
        <v>-6.0779462455962815E-2</v>
      </c>
      <c r="F25">
        <f t="shared" si="2"/>
        <v>3.6941430564357935E-3</v>
      </c>
      <c r="G25" s="4">
        <f t="shared" si="3"/>
        <v>-5.5891434440595522E-2</v>
      </c>
      <c r="H25">
        <f t="shared" si="4"/>
        <v>3.1238524438273875E-3</v>
      </c>
      <c r="I25">
        <f t="shared" si="5"/>
        <v>2.5739433257791766E-3</v>
      </c>
    </row>
    <row r="26" spans="1:19" x14ac:dyDescent="0.2">
      <c r="A26" s="2">
        <v>41305</v>
      </c>
      <c r="B26" s="1">
        <v>-4.1300480105391779E-3</v>
      </c>
      <c r="C26" s="1">
        <v>7.0672584499829494E-2</v>
      </c>
      <c r="D26" s="3">
        <f t="shared" si="0"/>
        <v>2.8867906915976169E-2</v>
      </c>
      <c r="E26" s="4">
        <f t="shared" si="1"/>
        <v>-1.4175465429868288E-2</v>
      </c>
      <c r="F26">
        <f t="shared" si="2"/>
        <v>2.0094382015339095E-4</v>
      </c>
      <c r="G26" s="4">
        <f t="shared" si="3"/>
        <v>4.1804677583853325E-2</v>
      </c>
      <c r="H26">
        <f t="shared" si="4"/>
        <v>1.7476310678899286E-3</v>
      </c>
      <c r="I26">
        <f t="shared" si="5"/>
        <v>1.7057296569358623E-5</v>
      </c>
      <c r="R26" s="12"/>
      <c r="S26" s="12"/>
    </row>
    <row r="27" spans="1:19" x14ac:dyDescent="0.2">
      <c r="A27" s="2">
        <v>41333</v>
      </c>
      <c r="B27" s="1">
        <v>6.599370661088555E-2</v>
      </c>
      <c r="C27" s="1">
        <v>0.13616071428571419</v>
      </c>
      <c r="D27" s="3">
        <f t="shared" si="0"/>
        <v>0.15574725197939554</v>
      </c>
      <c r="E27" s="4">
        <f t="shared" si="1"/>
        <v>5.5948289191556436E-2</v>
      </c>
      <c r="F27">
        <f t="shared" si="2"/>
        <v>3.1302110634620307E-3</v>
      </c>
      <c r="G27" s="4">
        <f t="shared" si="3"/>
        <v>-1.958653769368135E-2</v>
      </c>
      <c r="H27">
        <f t="shared" si="4"/>
        <v>3.8363245882600032E-4</v>
      </c>
      <c r="I27">
        <f t="shared" si="5"/>
        <v>4.3551693122436388E-3</v>
      </c>
    </row>
    <row r="28" spans="1:19" x14ac:dyDescent="0.2">
      <c r="A28" s="2">
        <v>41364</v>
      </c>
      <c r="B28" s="1">
        <v>2.69700118981131E-3</v>
      </c>
      <c r="C28" s="1">
        <v>-2.806623631771088E-3</v>
      </c>
      <c r="D28" s="3">
        <f t="shared" si="0"/>
        <v>4.1220518893651983E-2</v>
      </c>
      <c r="E28" s="4">
        <f t="shared" si="1"/>
        <v>-7.3484162295178006E-3</v>
      </c>
      <c r="F28">
        <f t="shared" si="2"/>
        <v>5.3999221082240611E-5</v>
      </c>
      <c r="G28" s="4">
        <f t="shared" si="3"/>
        <v>-4.4027142525423071E-2</v>
      </c>
      <c r="H28">
        <f t="shared" si="4"/>
        <v>1.9383892789539166E-3</v>
      </c>
      <c r="I28">
        <f t="shared" si="5"/>
        <v>7.273815417843622E-6</v>
      </c>
    </row>
    <row r="29" spans="1:19" x14ac:dyDescent="0.2">
      <c r="A29" s="2">
        <v>41394</v>
      </c>
      <c r="B29" s="1">
        <v>1.5333341782454379E-2</v>
      </c>
      <c r="C29" s="1">
        <v>0.31494511680270199</v>
      </c>
      <c r="D29" s="3">
        <f t="shared" si="0"/>
        <v>6.4084249266454979E-2</v>
      </c>
      <c r="E29" s="4">
        <f t="shared" si="1"/>
        <v>5.2879243631252688E-3</v>
      </c>
      <c r="F29">
        <f t="shared" si="2"/>
        <v>2.7962144070133781E-5</v>
      </c>
      <c r="G29" s="4">
        <f t="shared" si="3"/>
        <v>0.25086086753624703</v>
      </c>
      <c r="H29">
        <f t="shared" si="4"/>
        <v>6.2931174861038483E-2</v>
      </c>
      <c r="I29">
        <f t="shared" si="5"/>
        <v>2.3511137021756126E-4</v>
      </c>
    </row>
    <row r="30" spans="1:19" x14ac:dyDescent="0.2">
      <c r="A30" s="2">
        <v>41425</v>
      </c>
      <c r="B30" s="1">
        <v>9.0179481344954127E-4</v>
      </c>
      <c r="C30" s="1">
        <v>6.2071917808219634E-3</v>
      </c>
      <c r="D30" s="3">
        <f t="shared" si="0"/>
        <v>3.7972338437312521E-2</v>
      </c>
      <c r="E30" s="4">
        <f t="shared" si="1"/>
        <v>-9.1436226058795693E-3</v>
      </c>
      <c r="F30">
        <f t="shared" si="2"/>
        <v>8.3605834358751885E-5</v>
      </c>
      <c r="G30" s="4">
        <f t="shared" si="3"/>
        <v>-3.1765146656490557E-2</v>
      </c>
      <c r="H30">
        <f t="shared" si="4"/>
        <v>1.0090245421083533E-3</v>
      </c>
      <c r="I30">
        <f t="shared" si="5"/>
        <v>8.1323388556449293E-7</v>
      </c>
    </row>
    <row r="31" spans="1:19" ht="17" thickBot="1" x14ac:dyDescent="0.25">
      <c r="A31" s="2">
        <v>41455</v>
      </c>
      <c r="B31" s="1">
        <v>3.5614001594188816E-2</v>
      </c>
      <c r="C31" s="1">
        <v>0.21463518400340353</v>
      </c>
      <c r="D31" s="3">
        <f t="shared" si="0"/>
        <v>0.10077932995999064</v>
      </c>
      <c r="E31" s="4">
        <f t="shared" si="1"/>
        <v>2.5568584174859705E-2</v>
      </c>
      <c r="F31">
        <f t="shared" si="2"/>
        <v>6.5375249670688619E-4</v>
      </c>
      <c r="G31" s="4">
        <f t="shared" si="3"/>
        <v>0.11385585404341289</v>
      </c>
      <c r="H31">
        <f t="shared" si="4"/>
        <v>1.2963155499954939E-2</v>
      </c>
      <c r="I31">
        <f t="shared" si="5"/>
        <v>1.2683571095508835E-3</v>
      </c>
      <c r="R31" s="13"/>
      <c r="S31" s="13"/>
    </row>
    <row r="32" spans="1:19" x14ac:dyDescent="0.2">
      <c r="A32" s="2">
        <v>41486</v>
      </c>
      <c r="B32" s="1">
        <v>-1.2223488580096475E-3</v>
      </c>
      <c r="C32" s="1">
        <v>7.4255691768826626E-2</v>
      </c>
      <c r="D32" s="3">
        <f t="shared" si="0"/>
        <v>3.4128990925326813E-2</v>
      </c>
      <c r="E32" s="4">
        <f t="shared" si="1"/>
        <v>-1.1267766277338758E-2</v>
      </c>
      <c r="F32">
        <f t="shared" si="2"/>
        <v>1.2696255688073252E-4</v>
      </c>
      <c r="G32" s="4">
        <f t="shared" si="3"/>
        <v>4.0126700843499813E-2</v>
      </c>
      <c r="H32">
        <f t="shared" si="4"/>
        <v>1.6101521205837287E-3</v>
      </c>
      <c r="I32">
        <f t="shared" si="5"/>
        <v>1.4941367306774894E-6</v>
      </c>
    </row>
    <row r="33" spans="1:26" ht="17" thickBot="1" x14ac:dyDescent="0.25">
      <c r="A33" s="2">
        <v>41517</v>
      </c>
      <c r="B33" s="1">
        <v>-1.2321204097999194E-3</v>
      </c>
      <c r="C33" s="1">
        <v>0.11705249429409847</v>
      </c>
      <c r="D33" s="3">
        <f t="shared" si="0"/>
        <v>3.4111310638552439E-2</v>
      </c>
      <c r="E33" s="4">
        <f t="shared" si="1"/>
        <v>-1.127753782912903E-2</v>
      </c>
      <c r="F33">
        <f t="shared" si="2"/>
        <v>1.2718285948743632E-4</v>
      </c>
      <c r="G33" s="4">
        <f t="shared" si="3"/>
        <v>8.2941183655546036E-2</v>
      </c>
      <c r="H33">
        <f t="shared" si="4"/>
        <v>6.879239946183017E-3</v>
      </c>
      <c r="I33">
        <f t="shared" si="5"/>
        <v>1.5181207042455215E-6</v>
      </c>
    </row>
    <row r="34" spans="1:26" x14ac:dyDescent="0.2">
      <c r="A34" s="2">
        <v>41547</v>
      </c>
      <c r="B34" s="1">
        <v>-1.9425049470841449E-2</v>
      </c>
      <c r="C34" s="1">
        <v>3.8528896672504365E-2</v>
      </c>
      <c r="D34" s="3">
        <f t="shared" si="0"/>
        <v>1.1936932560834834E-3</v>
      </c>
      <c r="E34" s="4">
        <f t="shared" si="1"/>
        <v>-2.947046689017056E-2</v>
      </c>
      <c r="F34">
        <f t="shared" si="2"/>
        <v>8.685084187246392E-4</v>
      </c>
      <c r="G34" s="4">
        <f t="shared" si="3"/>
        <v>3.7335203416420881E-2</v>
      </c>
      <c r="H34">
        <f t="shared" si="4"/>
        <v>1.3939174141455255E-3</v>
      </c>
      <c r="I34">
        <f t="shared" si="5"/>
        <v>3.7733254694463766E-4</v>
      </c>
      <c r="R34" s="14"/>
      <c r="S34" s="14"/>
      <c r="T34" s="14"/>
      <c r="U34" s="14"/>
      <c r="V34" s="14"/>
      <c r="W34" s="14"/>
    </row>
    <row r="35" spans="1:26" x14ac:dyDescent="0.2">
      <c r="A35" s="2">
        <v>41578</v>
      </c>
      <c r="B35" s="1">
        <v>3.4173054294655225E-2</v>
      </c>
      <c r="C35" s="1">
        <v>0.29567172568858924</v>
      </c>
      <c r="D35" s="3">
        <f t="shared" si="0"/>
        <v>9.8172132860765926E-2</v>
      </c>
      <c r="E35" s="4">
        <f t="shared" si="1"/>
        <v>2.4127636875326115E-2</v>
      </c>
      <c r="F35">
        <f t="shared" si="2"/>
        <v>5.8214286118759651E-4</v>
      </c>
      <c r="G35" s="4">
        <f t="shared" si="3"/>
        <v>0.19749959282782331</v>
      </c>
      <c r="H35">
        <f t="shared" si="4"/>
        <v>3.9006089167155998E-2</v>
      </c>
      <c r="I35">
        <f t="shared" si="5"/>
        <v>1.1677976398254538E-3</v>
      </c>
    </row>
    <row r="36" spans="1:26" x14ac:dyDescent="0.2">
      <c r="A36" s="2">
        <v>41608</v>
      </c>
      <c r="B36" s="1">
        <v>1.8199036954797077E-2</v>
      </c>
      <c r="C36" s="1">
        <v>0.15770065075921891</v>
      </c>
      <c r="D36" s="3">
        <f t="shared" si="0"/>
        <v>6.9269332817402704E-2</v>
      </c>
      <c r="E36" s="4">
        <f t="shared" si="1"/>
        <v>8.1536195354679659E-3</v>
      </c>
      <c r="F36">
        <f t="shared" si="2"/>
        <v>6.6481511529164854E-5</v>
      </c>
      <c r="G36" s="4">
        <f t="shared" si="3"/>
        <v>8.8431317941816204E-2</v>
      </c>
      <c r="H36">
        <f t="shared" si="4"/>
        <v>7.8200979929265845E-3</v>
      </c>
      <c r="I36">
        <f t="shared" si="5"/>
        <v>3.3120494608206966E-4</v>
      </c>
    </row>
    <row r="37" spans="1:26" ht="17" thickBot="1" x14ac:dyDescent="0.25">
      <c r="A37" s="2">
        <v>41639</v>
      </c>
      <c r="B37" s="1">
        <v>1.7884461192794632E-2</v>
      </c>
      <c r="C37" s="1">
        <v>2.2859284242083611E-2</v>
      </c>
      <c r="D37" s="3">
        <f t="shared" si="0"/>
        <v>6.870015099205444E-2</v>
      </c>
      <c r="E37" s="4">
        <f t="shared" si="1"/>
        <v>7.8390437734655212E-3</v>
      </c>
      <c r="F37">
        <f t="shared" si="2"/>
        <v>6.1450607282308563E-5</v>
      </c>
      <c r="G37" s="4">
        <f t="shared" si="3"/>
        <v>-4.5840866749970829E-2</v>
      </c>
      <c r="H37">
        <f t="shared" si="4"/>
        <v>2.1013850643885812E-3</v>
      </c>
      <c r="I37">
        <f t="shared" si="5"/>
        <v>3.198539521565772E-4</v>
      </c>
      <c r="R37" s="13"/>
      <c r="S37" s="13"/>
      <c r="T37" s="13"/>
      <c r="U37" s="13"/>
      <c r="V37" s="13"/>
      <c r="W37" s="13"/>
    </row>
    <row r="38" spans="1:26" ht="17" thickBot="1" x14ac:dyDescent="0.25">
      <c r="A38" s="2">
        <v>41670</v>
      </c>
      <c r="B38" s="1">
        <v>3.7198884614172645E-2</v>
      </c>
      <c r="C38" s="1">
        <v>-7.0525737314526382E-2</v>
      </c>
      <c r="D38" s="3">
        <f t="shared" si="0"/>
        <v>0.10364695906318536</v>
      </c>
      <c r="E38" s="4">
        <f t="shared" si="1"/>
        <v>2.7153467194843534E-2</v>
      </c>
      <c r="F38">
        <f t="shared" si="2"/>
        <v>7.3731078070144395E-4</v>
      </c>
      <c r="G38" s="4">
        <f t="shared" si="3"/>
        <v>-0.17417269637771174</v>
      </c>
      <c r="H38">
        <f t="shared" si="4"/>
        <v>3.0336128163482561E-2</v>
      </c>
      <c r="I38">
        <f t="shared" si="5"/>
        <v>1.3837570165385303E-3</v>
      </c>
    </row>
    <row r="39" spans="1:26" x14ac:dyDescent="0.2">
      <c r="A39" s="2">
        <v>41698</v>
      </c>
      <c r="B39" s="1">
        <v>-3.89220623005615E-4</v>
      </c>
      <c r="C39" s="1">
        <v>7.3413480488766281E-2</v>
      </c>
      <c r="D39" s="3">
        <f t="shared" si="0"/>
        <v>3.5636422542213712E-2</v>
      </c>
      <c r="E39" s="4">
        <f t="shared" si="1"/>
        <v>-1.0434638042334726E-2</v>
      </c>
      <c r="F39">
        <f t="shared" si="2"/>
        <v>1.0888167107453907E-4</v>
      </c>
      <c r="G39" s="4">
        <f t="shared" si="3"/>
        <v>3.7777057946552568E-2</v>
      </c>
      <c r="H39">
        <f t="shared" si="4"/>
        <v>1.4271061070971905E-3</v>
      </c>
      <c r="I39">
        <f t="shared" si="5"/>
        <v>1.5149269337287906E-7</v>
      </c>
      <c r="R39" s="14"/>
      <c r="S39" s="14"/>
      <c r="T39" s="14"/>
      <c r="U39" s="14"/>
      <c r="V39" s="14"/>
      <c r="W39" s="14"/>
      <c r="X39" s="14"/>
      <c r="Y39" s="14"/>
      <c r="Z39" s="14"/>
    </row>
    <row r="40" spans="1:26" x14ac:dyDescent="0.2">
      <c r="A40" s="2">
        <v>41729</v>
      </c>
      <c r="B40" s="1">
        <v>9.090079905042403E-3</v>
      </c>
      <c r="C40" s="1">
        <v>-4.2504360598549562E-2</v>
      </c>
      <c r="D40" s="3">
        <f t="shared" si="0"/>
        <v>5.2787920620877504E-2</v>
      </c>
      <c r="E40" s="4">
        <f t="shared" si="1"/>
        <v>-9.5533751428670752E-4</v>
      </c>
      <c r="F40">
        <f t="shared" si="2"/>
        <v>9.1266976620350504E-7</v>
      </c>
      <c r="G40" s="4">
        <f t="shared" si="3"/>
        <v>-9.5292281219427066E-2</v>
      </c>
      <c r="H40">
        <f t="shared" si="4"/>
        <v>9.0806188600023718E-3</v>
      </c>
      <c r="I40">
        <f t="shared" si="5"/>
        <v>8.2629552680055704E-5</v>
      </c>
    </row>
    <row r="41" spans="1:26" ht="17" thickBot="1" x14ac:dyDescent="0.25">
      <c r="A41" s="2">
        <v>41759</v>
      </c>
      <c r="B41" s="1">
        <v>1.1576989486522526E-2</v>
      </c>
      <c r="C41" s="1">
        <v>0.38398849472674979</v>
      </c>
      <c r="D41" s="3">
        <f t="shared" si="0"/>
        <v>5.7287643441391388E-2</v>
      </c>
      <c r="E41" s="4">
        <f t="shared" si="1"/>
        <v>1.5315720671934159E-3</v>
      </c>
      <c r="F41">
        <f t="shared" si="2"/>
        <v>2.3457129970071132E-6</v>
      </c>
      <c r="G41" s="4">
        <f t="shared" si="3"/>
        <v>0.32670085128535842</v>
      </c>
      <c r="H41">
        <f t="shared" si="4"/>
        <v>0.10673344623057787</v>
      </c>
      <c r="I41">
        <f t="shared" si="5"/>
        <v>1.3402668557105311E-4</v>
      </c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">
      <c r="A42" s="2">
        <v>41790</v>
      </c>
      <c r="B42" s="1">
        <v>4.8144869756812092E-3</v>
      </c>
      <c r="C42" s="1">
        <v>1.4547973675094195E-3</v>
      </c>
      <c r="D42" s="3">
        <f t="shared" si="0"/>
        <v>4.5051819872082302E-2</v>
      </c>
      <c r="E42" s="4">
        <f t="shared" si="1"/>
        <v>-5.2309304436479014E-3</v>
      </c>
      <c r="F42">
        <f t="shared" si="2"/>
        <v>2.7362633306282429E-5</v>
      </c>
      <c r="G42" s="4">
        <f t="shared" si="3"/>
        <v>-4.3597022504572883E-2</v>
      </c>
      <c r="H42">
        <f t="shared" si="4"/>
        <v>1.9007003712642344E-3</v>
      </c>
      <c r="I42">
        <f t="shared" si="5"/>
        <v>2.3179284839003996E-5</v>
      </c>
    </row>
    <row r="43" spans="1:26" x14ac:dyDescent="0.2">
      <c r="A43" s="2">
        <v>41820</v>
      </c>
      <c r="B43" s="1">
        <v>1.9349245754665123E-2</v>
      </c>
      <c r="C43" s="1">
        <v>0.12416989485334828</v>
      </c>
      <c r="D43" s="3">
        <f t="shared" si="0"/>
        <v>7.1350478357901925E-2</v>
      </c>
      <c r="E43" s="4">
        <f t="shared" si="1"/>
        <v>9.3038283353360125E-3</v>
      </c>
      <c r="F43">
        <f t="shared" si="2"/>
        <v>8.6561221693401281E-5</v>
      </c>
      <c r="G43" s="4">
        <f t="shared" si="3"/>
        <v>5.2819416495446359E-2</v>
      </c>
      <c r="H43">
        <f t="shared" si="4"/>
        <v>2.7898907589194309E-3</v>
      </c>
      <c r="I43">
        <f t="shared" si="5"/>
        <v>3.7439331127442631E-4</v>
      </c>
    </row>
    <row r="44" spans="1:26" x14ac:dyDescent="0.2">
      <c r="A44" s="2">
        <v>41851</v>
      </c>
      <c r="B44" s="1">
        <v>5.4656627454563456E-4</v>
      </c>
      <c r="C44" s="1">
        <v>4.2643529628945798E-2</v>
      </c>
      <c r="D44" s="3">
        <f t="shared" si="0"/>
        <v>3.7329600971138792E-2</v>
      </c>
      <c r="E44" s="4">
        <f t="shared" si="1"/>
        <v>-9.498851144783476E-3</v>
      </c>
      <c r="F44">
        <f t="shared" si="2"/>
        <v>9.0228173070754347E-5</v>
      </c>
      <c r="G44" s="4">
        <f t="shared" si="3"/>
        <v>5.3139286578070058E-3</v>
      </c>
      <c r="H44">
        <f t="shared" si="4"/>
        <v>2.8237837780262567E-5</v>
      </c>
      <c r="I44">
        <f t="shared" si="5"/>
        <v>2.9873469247069399E-7</v>
      </c>
    </row>
    <row r="45" spans="1:26" x14ac:dyDescent="0.2">
      <c r="A45" s="2">
        <v>41882</v>
      </c>
      <c r="B45" s="1">
        <v>1.9302676329669088E-2</v>
      </c>
      <c r="C45" s="1">
        <v>5.506373937677056E-2</v>
      </c>
      <c r="D45" s="3">
        <f t="shared" si="0"/>
        <v>7.1266217351408812E-2</v>
      </c>
      <c r="E45" s="4">
        <f t="shared" si="1"/>
        <v>9.2572589103399779E-3</v>
      </c>
      <c r="F45">
        <f t="shared" si="2"/>
        <v>8.5696842533068921E-5</v>
      </c>
      <c r="G45" s="4">
        <f t="shared" si="3"/>
        <v>-1.6202477974638252E-2</v>
      </c>
      <c r="H45">
        <f t="shared" si="4"/>
        <v>2.6252029251863765E-4</v>
      </c>
      <c r="I45">
        <f t="shared" si="5"/>
        <v>3.725933134879673E-4</v>
      </c>
    </row>
    <row r="46" spans="1:26" ht="17" thickBot="1" x14ac:dyDescent="0.25">
      <c r="A46" s="2">
        <v>41912</v>
      </c>
      <c r="B46" s="1">
        <v>2.2189828300208214E-2</v>
      </c>
      <c r="C46" s="1">
        <v>0.15684958326341114</v>
      </c>
      <c r="D46" s="3">
        <f t="shared" si="0"/>
        <v>7.6490124044628627E-2</v>
      </c>
      <c r="E46" s="4">
        <f t="shared" si="1"/>
        <v>1.2144410880879104E-2</v>
      </c>
      <c r="F46">
        <f t="shared" si="2"/>
        <v>1.4748671564361477E-4</v>
      </c>
      <c r="G46" s="4">
        <f t="shared" si="3"/>
        <v>8.0359459218782514E-2</v>
      </c>
      <c r="H46">
        <f t="shared" si="4"/>
        <v>6.4576426859351702E-3</v>
      </c>
      <c r="I46">
        <f t="shared" si="5"/>
        <v>4.9238847999272131E-4</v>
      </c>
    </row>
    <row r="47" spans="1:26" x14ac:dyDescent="0.2">
      <c r="A47" s="2">
        <v>41943</v>
      </c>
      <c r="B47" s="1">
        <v>2.8081044037432834E-2</v>
      </c>
      <c r="C47" s="1">
        <v>-2.9495672356269043E-2</v>
      </c>
      <c r="D47" s="3">
        <f t="shared" si="0"/>
        <v>8.7149473339339617E-2</v>
      </c>
      <c r="E47" s="4">
        <f t="shared" si="1"/>
        <v>1.8035626618103724E-2</v>
      </c>
      <c r="F47">
        <f t="shared" si="2"/>
        <v>3.2528382750765154E-4</v>
      </c>
      <c r="G47" s="4">
        <f t="shared" si="3"/>
        <v>-0.11664514569560866</v>
      </c>
      <c r="H47">
        <f t="shared" si="4"/>
        <v>1.3606090014349771E-2</v>
      </c>
      <c r="I47">
        <f t="shared" si="5"/>
        <v>7.8854503423224213E-4</v>
      </c>
      <c r="R47" s="14"/>
      <c r="S47" s="14"/>
      <c r="T47" s="14"/>
      <c r="U47" s="14"/>
      <c r="W47" s="14"/>
      <c r="X47" s="14"/>
    </row>
    <row r="48" spans="1:26" x14ac:dyDescent="0.2">
      <c r="A48" s="2">
        <v>41973</v>
      </c>
      <c r="B48" s="1">
        <v>9.8318450742365116E-3</v>
      </c>
      <c r="C48" s="1">
        <v>-3.5922475212993854E-2</v>
      </c>
      <c r="D48" s="3">
        <f t="shared" si="0"/>
        <v>5.4130043263429947E-2</v>
      </c>
      <c r="E48" s="4">
        <f t="shared" si="1"/>
        <v>-2.1357234509259901E-4</v>
      </c>
      <c r="F48">
        <f t="shared" si="2"/>
        <v>4.5613146588352202E-8</v>
      </c>
      <c r="G48" s="4">
        <f t="shared" si="3"/>
        <v>-9.0052518476423801E-2</v>
      </c>
      <c r="H48">
        <f t="shared" si="4"/>
        <v>8.1094560839466492E-3</v>
      </c>
      <c r="I48">
        <f t="shared" si="5"/>
        <v>9.6665177563788756E-5</v>
      </c>
    </row>
    <row r="49" spans="1:9" x14ac:dyDescent="0.2">
      <c r="A49" s="2">
        <v>42004</v>
      </c>
      <c r="B49" s="1">
        <v>5.6178494549969704E-2</v>
      </c>
      <c r="C49" s="1">
        <v>0.27028423772609811</v>
      </c>
      <c r="D49" s="3">
        <f t="shared" si="0"/>
        <v>0.13798796791551726</v>
      </c>
      <c r="E49" s="4">
        <f t="shared" si="1"/>
        <v>4.613307713064059E-2</v>
      </c>
      <c r="F49">
        <f t="shared" si="2"/>
        <v>2.1282608055416337E-3</v>
      </c>
      <c r="G49" s="4">
        <f t="shared" si="3"/>
        <v>0.13229626981058085</v>
      </c>
      <c r="H49">
        <f t="shared" si="4"/>
        <v>1.7502303005794004E-2</v>
      </c>
      <c r="I49">
        <f t="shared" si="5"/>
        <v>3.1560232499009758E-3</v>
      </c>
    </row>
    <row r="50" spans="1:9" x14ac:dyDescent="0.2">
      <c r="A50" s="2">
        <v>42035</v>
      </c>
      <c r="B50" s="1">
        <v>-3.8947167504676861E-2</v>
      </c>
      <c r="C50" s="1">
        <v>-1.5459723352318933E-2</v>
      </c>
      <c r="D50" s="3">
        <f t="shared" si="0"/>
        <v>-3.4128909815529962E-2</v>
      </c>
      <c r="E50" s="4">
        <f t="shared" si="1"/>
        <v>-4.8992584924005975E-2</v>
      </c>
      <c r="F50">
        <f t="shared" si="2"/>
        <v>2.4002733775359375E-3</v>
      </c>
      <c r="G50" s="4">
        <f t="shared" si="3"/>
        <v>1.8669186463211029E-2</v>
      </c>
      <c r="H50">
        <f t="shared" si="4"/>
        <v>3.4853852319814194E-4</v>
      </c>
      <c r="I50">
        <f t="shared" si="5"/>
        <v>1.5168818566373573E-3</v>
      </c>
    </row>
    <row r="51" spans="1:9" x14ac:dyDescent="0.2">
      <c r="A51" s="2">
        <v>42063</v>
      </c>
      <c r="B51" s="1">
        <v>-2.6886184436862748E-2</v>
      </c>
      <c r="C51" s="1">
        <v>-4.3016528925619801E-2</v>
      </c>
      <c r="D51" s="3">
        <f t="shared" si="0"/>
        <v>-1.2306210207860935E-2</v>
      </c>
      <c r="E51" s="4">
        <f t="shared" si="1"/>
        <v>-3.6931601856191862E-2</v>
      </c>
      <c r="F51">
        <f t="shared" si="2"/>
        <v>1.3639432156642743E-3</v>
      </c>
      <c r="G51" s="4">
        <f t="shared" si="3"/>
        <v>-3.0710318717758867E-2</v>
      </c>
      <c r="H51">
        <f t="shared" si="4"/>
        <v>9.4312367574633056E-4</v>
      </c>
      <c r="I51">
        <f t="shared" si="5"/>
        <v>7.2286691357300063E-4</v>
      </c>
    </row>
    <row r="52" spans="1:9" x14ac:dyDescent="0.2">
      <c r="A52" s="2">
        <v>42094</v>
      </c>
      <c r="B52" s="1">
        <v>2.7200828840745483E-3</v>
      </c>
      <c r="C52" s="1">
        <v>-2.8887257653611997E-2</v>
      </c>
      <c r="D52" s="3">
        <f t="shared" si="0"/>
        <v>4.1262282063163999E-2</v>
      </c>
      <c r="E52" s="4">
        <f t="shared" si="1"/>
        <v>-7.3253345352545622E-3</v>
      </c>
      <c r="F52">
        <f t="shared" si="2"/>
        <v>5.3660526053393173E-5</v>
      </c>
      <c r="G52" s="4">
        <f t="shared" si="3"/>
        <v>-7.0149539716775997E-2</v>
      </c>
      <c r="H52">
        <f t="shared" si="4"/>
        <v>4.9209579224755327E-3</v>
      </c>
      <c r="I52">
        <f t="shared" si="5"/>
        <v>7.3988508962353127E-6</v>
      </c>
    </row>
    <row r="53" spans="1:9" x14ac:dyDescent="0.2">
      <c r="A53" s="2">
        <v>42124</v>
      </c>
      <c r="B53" s="1">
        <v>2.1610392796586053E-2</v>
      </c>
      <c r="C53" s="1">
        <v>0.12134281903068045</v>
      </c>
      <c r="D53" s="3">
        <f t="shared" si="0"/>
        <v>7.5441714734502924E-2</v>
      </c>
      <c r="E53" s="4">
        <f t="shared" si="1"/>
        <v>1.1564975377256943E-2</v>
      </c>
      <c r="F53">
        <f t="shared" si="2"/>
        <v>1.3374865547655936E-4</v>
      </c>
      <c r="G53" s="4">
        <f t="shared" si="3"/>
        <v>4.5901104296177525E-2</v>
      </c>
      <c r="H53">
        <f t="shared" si="4"/>
        <v>2.1069113756085668E-3</v>
      </c>
      <c r="I53">
        <f t="shared" si="5"/>
        <v>4.6700907682273838E-4</v>
      </c>
    </row>
    <row r="54" spans="1:9" x14ac:dyDescent="0.2">
      <c r="A54" s="2">
        <v>42155</v>
      </c>
      <c r="B54" s="1">
        <v>4.8419161083466111E-3</v>
      </c>
      <c r="C54" s="1">
        <v>-6.0628890915579547E-2</v>
      </c>
      <c r="D54" s="3">
        <f t="shared" si="0"/>
        <v>4.5101449136901797E-2</v>
      </c>
      <c r="E54" s="4">
        <f t="shared" si="1"/>
        <v>-5.2035013109824994E-3</v>
      </c>
      <c r="F54">
        <f t="shared" si="2"/>
        <v>2.7076425893396589E-5</v>
      </c>
      <c r="G54" s="4">
        <f t="shared" si="3"/>
        <v>-0.10573034005248134</v>
      </c>
      <c r="H54">
        <f t="shared" si="4"/>
        <v>1.1178904807613341E-2</v>
      </c>
      <c r="I54">
        <f t="shared" si="5"/>
        <v>2.3444151600266392E-5</v>
      </c>
    </row>
    <row r="55" spans="1:9" x14ac:dyDescent="0.2">
      <c r="A55" s="2">
        <v>42185</v>
      </c>
      <c r="B55" s="1">
        <v>3.6019762305947056E-2</v>
      </c>
      <c r="C55" s="1">
        <v>3.3600675390460077E-2</v>
      </c>
      <c r="D55" s="3">
        <f t="shared" si="0"/>
        <v>0.10151349848302953</v>
      </c>
      <c r="E55" s="4">
        <f t="shared" si="1"/>
        <v>2.5974344886617946E-2</v>
      </c>
      <c r="F55">
        <f t="shared" si="2"/>
        <v>6.7466659228897577E-4</v>
      </c>
      <c r="G55" s="4">
        <f t="shared" si="3"/>
        <v>-6.7912823092569449E-2</v>
      </c>
      <c r="H55">
        <f t="shared" si="4"/>
        <v>4.6121515404026342E-3</v>
      </c>
      <c r="I55">
        <f t="shared" si="5"/>
        <v>1.2974232765769244E-3</v>
      </c>
    </row>
    <row r="56" spans="1:9" x14ac:dyDescent="0.2">
      <c r="A56" s="2">
        <v>42216</v>
      </c>
      <c r="B56" s="1">
        <v>3.0262894579943689E-2</v>
      </c>
      <c r="C56" s="1">
        <v>0.14628767458956138</v>
      </c>
      <c r="D56" s="3">
        <f t="shared" si="0"/>
        <v>9.1097233543489656E-2</v>
      </c>
      <c r="E56" s="4">
        <f t="shared" si="1"/>
        <v>2.0217477160614578E-2</v>
      </c>
      <c r="F56">
        <f t="shared" si="2"/>
        <v>4.0874638273997213E-4</v>
      </c>
      <c r="G56" s="4">
        <f t="shared" si="3"/>
        <v>5.5190441046071723E-2</v>
      </c>
      <c r="H56">
        <f t="shared" si="4"/>
        <v>3.0459847828599182E-3</v>
      </c>
      <c r="I56">
        <f t="shared" si="5"/>
        <v>9.1584278835678506E-4</v>
      </c>
    </row>
    <row r="57" spans="1:9" x14ac:dyDescent="0.2">
      <c r="A57" s="2">
        <v>42247</v>
      </c>
      <c r="B57" s="1">
        <v>4.2944638745812114E-3</v>
      </c>
      <c r="C57" s="1">
        <v>1.2113438791505615E-3</v>
      </c>
      <c r="D57" s="3">
        <f t="shared" si="0"/>
        <v>4.4110909180097524E-2</v>
      </c>
      <c r="E57" s="4">
        <f t="shared" si="1"/>
        <v>-5.7509535447478992E-3</v>
      </c>
      <c r="F57">
        <f t="shared" si="2"/>
        <v>3.307346667384843E-5</v>
      </c>
      <c r="G57" s="4">
        <f t="shared" si="3"/>
        <v>-4.2899565300946962E-2</v>
      </c>
      <c r="H57">
        <f t="shared" si="4"/>
        <v>1.8403727030102126E-3</v>
      </c>
      <c r="I57">
        <f t="shared" si="5"/>
        <v>1.844241997008307E-5</v>
      </c>
    </row>
    <row r="58" spans="1:9" x14ac:dyDescent="0.2">
      <c r="A58" s="2">
        <v>42277</v>
      </c>
      <c r="B58" s="1">
        <v>-6.9401252196493624E-2</v>
      </c>
      <c r="C58" s="1">
        <v>-0.24976869973667359</v>
      </c>
      <c r="D58" s="3">
        <f t="shared" si="0"/>
        <v>-8.923141168617367E-2</v>
      </c>
      <c r="E58" s="4">
        <f t="shared" si="1"/>
        <v>-7.9446669615822738E-2</v>
      </c>
      <c r="F58">
        <f t="shared" si="2"/>
        <v>6.3117733130456915E-3</v>
      </c>
      <c r="G58" s="4">
        <f t="shared" si="3"/>
        <v>-0.16053728805049994</v>
      </c>
      <c r="H58">
        <f t="shared" si="4"/>
        <v>2.5772220854609191E-2</v>
      </c>
      <c r="I58">
        <f t="shared" si="5"/>
        <v>4.8165338064413109E-3</v>
      </c>
    </row>
    <row r="59" spans="1:9" x14ac:dyDescent="0.2">
      <c r="A59" s="2">
        <v>42308</v>
      </c>
      <c r="B59" s="1">
        <v>1.7859296884204179E-2</v>
      </c>
      <c r="C59" s="1">
        <v>-0.2248256889436987</v>
      </c>
      <c r="D59" s="3">
        <f t="shared" si="0"/>
        <v>6.8654619616699997E-2</v>
      </c>
      <c r="E59" s="4">
        <f t="shared" si="1"/>
        <v>7.8138794648750683E-3</v>
      </c>
      <c r="F59">
        <f t="shared" si="2"/>
        <v>6.1056712291596276E-5</v>
      </c>
      <c r="G59" s="4">
        <f t="shared" si="3"/>
        <v>-0.29348030856039869</v>
      </c>
      <c r="H59">
        <f t="shared" si="4"/>
        <v>8.6130691512706831E-2</v>
      </c>
      <c r="I59">
        <f t="shared" si="5"/>
        <v>3.189544851981451E-4</v>
      </c>
    </row>
    <row r="60" spans="1:9" x14ac:dyDescent="0.2">
      <c r="A60" s="2">
        <v>42338</v>
      </c>
      <c r="B60" s="1">
        <v>-9.1779377093156755E-2</v>
      </c>
      <c r="C60" s="1">
        <v>-0.18313651104448392</v>
      </c>
      <c r="D60" s="3">
        <f t="shared" si="0"/>
        <v>-0.12972156863747486</v>
      </c>
      <c r="E60" s="4">
        <f t="shared" si="1"/>
        <v>-0.10182479451248587</v>
      </c>
      <c r="F60">
        <f t="shared" si="2"/>
        <v>1.0368288777509973E-2</v>
      </c>
      <c r="G60" s="4">
        <f t="shared" si="3"/>
        <v>-5.3414942407009058E-2</v>
      </c>
      <c r="H60">
        <f t="shared" si="4"/>
        <v>2.8531560723440946E-3</v>
      </c>
      <c r="I60">
        <f t="shared" si="5"/>
        <v>8.4234540596078676E-3</v>
      </c>
    </row>
    <row r="61" spans="1:9" x14ac:dyDescent="0.2">
      <c r="A61" s="2">
        <v>42369</v>
      </c>
      <c r="B61" s="1">
        <v>7.8685848280793724E-2</v>
      </c>
      <c r="C61" s="1">
        <v>7.6779026217228541E-2</v>
      </c>
      <c r="D61" s="3">
        <f t="shared" si="0"/>
        <v>0.1787119467711098</v>
      </c>
      <c r="E61" s="4">
        <f t="shared" si="1"/>
        <v>6.864043086146461E-2</v>
      </c>
      <c r="F61">
        <f t="shared" si="2"/>
        <v>4.7115087488475036E-3</v>
      </c>
      <c r="G61" s="4">
        <f t="shared" si="3"/>
        <v>-0.10193292055388126</v>
      </c>
      <c r="H61">
        <f t="shared" si="4"/>
        <v>1.0390320292643867E-2</v>
      </c>
      <c r="I61">
        <f t="shared" si="5"/>
        <v>6.191462719668089E-3</v>
      </c>
    </row>
    <row r="62" spans="1:9" x14ac:dyDescent="0.2">
      <c r="A62" s="2">
        <v>42400</v>
      </c>
      <c r="B62" s="1">
        <v>2.9729211783815712E-2</v>
      </c>
      <c r="C62" s="1">
        <v>7.3113043478260975E-2</v>
      </c>
      <c r="D62" s="3">
        <f t="shared" si="0"/>
        <v>9.0131607501217764E-2</v>
      </c>
      <c r="E62" s="4">
        <f t="shared" si="1"/>
        <v>1.9683794364486602E-2</v>
      </c>
      <c r="F62">
        <f t="shared" si="2"/>
        <v>3.8745176058339447E-4</v>
      </c>
      <c r="G62" s="4">
        <f t="shared" si="3"/>
        <v>-1.7018564022956789E-2</v>
      </c>
      <c r="H62">
        <f t="shared" si="4"/>
        <v>2.896315214034792E-4</v>
      </c>
      <c r="I62">
        <f t="shared" si="5"/>
        <v>8.8382603328696703E-4</v>
      </c>
    </row>
    <row r="63" spans="1:9" x14ac:dyDescent="0.2">
      <c r="A63" s="2">
        <v>42429</v>
      </c>
      <c r="B63" s="1">
        <v>1.7923726321195987E-2</v>
      </c>
      <c r="C63" s="1">
        <v>0.1640088162841955</v>
      </c>
      <c r="D63" s="3">
        <f t="shared" si="0"/>
        <v>6.8771195872670027E-2</v>
      </c>
      <c r="E63" s="4">
        <f t="shared" si="1"/>
        <v>7.8783089018668769E-3</v>
      </c>
      <c r="F63">
        <f t="shared" si="2"/>
        <v>6.2067751153234869E-5</v>
      </c>
      <c r="G63" s="4">
        <f t="shared" si="3"/>
        <v>9.5237620411525475E-2</v>
      </c>
      <c r="H63">
        <f t="shared" si="4"/>
        <v>9.0702043416498145E-3</v>
      </c>
      <c r="I63">
        <f t="shared" si="5"/>
        <v>3.2125996523713383E-4</v>
      </c>
    </row>
    <row r="64" spans="1:9" x14ac:dyDescent="0.2">
      <c r="A64" s="2">
        <v>42460</v>
      </c>
      <c r="B64" s="1">
        <v>3.9313813986679325E-2</v>
      </c>
      <c r="C64" s="1">
        <v>8.0196034751616185E-3</v>
      </c>
      <c r="D64" s="3">
        <f t="shared" si="0"/>
        <v>0.10747363456120626</v>
      </c>
      <c r="E64" s="4">
        <f t="shared" si="1"/>
        <v>2.9268396567350214E-2</v>
      </c>
      <c r="F64">
        <f t="shared" si="2"/>
        <v>8.566390376236778E-4</v>
      </c>
      <c r="G64" s="4">
        <f t="shared" si="3"/>
        <v>-9.9454031086044642E-2</v>
      </c>
      <c r="H64">
        <f t="shared" si="4"/>
        <v>9.8911042992639343E-3</v>
      </c>
      <c r="I64">
        <f t="shared" si="5"/>
        <v>1.545575970179223E-3</v>
      </c>
    </row>
    <row r="65" spans="1:9" x14ac:dyDescent="0.2">
      <c r="A65" s="2">
        <v>42490</v>
      </c>
      <c r="B65" s="1">
        <v>-6.5777027995349791E-2</v>
      </c>
      <c r="C65" s="1">
        <v>-0.25160220994475146</v>
      </c>
      <c r="D65" s="3">
        <f t="shared" si="0"/>
        <v>-8.267387358105302E-2</v>
      </c>
      <c r="E65" s="4">
        <f t="shared" si="1"/>
        <v>-7.5822445414678905E-2</v>
      </c>
      <c r="F65">
        <f t="shared" si="2"/>
        <v>5.7490432286619623E-3</v>
      </c>
      <c r="G65" s="4">
        <f t="shared" si="3"/>
        <v>-0.16892833636369844</v>
      </c>
      <c r="H65">
        <f t="shared" si="4"/>
        <v>2.8536782826606842E-2</v>
      </c>
      <c r="I65">
        <f t="shared" si="5"/>
        <v>4.3266174119010303E-3</v>
      </c>
    </row>
    <row r="66" spans="1:9" x14ac:dyDescent="0.2">
      <c r="A66" s="2">
        <v>42521</v>
      </c>
      <c r="B66" s="1">
        <v>6.8929293833237093E-2</v>
      </c>
      <c r="C66" s="1">
        <v>0.21238742064077942</v>
      </c>
      <c r="D66" s="3">
        <f t="shared" si="0"/>
        <v>0.16105879563759418</v>
      </c>
      <c r="E66" s="4">
        <f t="shared" si="1"/>
        <v>5.8883876413907979E-2</v>
      </c>
      <c r="F66">
        <f t="shared" si="2"/>
        <v>3.4673109015283883E-3</v>
      </c>
      <c r="G66" s="4">
        <f t="shared" si="3"/>
        <v>5.1328625003185246E-2</v>
      </c>
      <c r="H66">
        <f t="shared" si="4"/>
        <v>2.6346277447176136E-3</v>
      </c>
      <c r="I66">
        <f t="shared" si="5"/>
        <v>4.7512475483487372E-3</v>
      </c>
    </row>
    <row r="67" spans="1:9" x14ac:dyDescent="0.2">
      <c r="A67" s="2">
        <v>42551</v>
      </c>
      <c r="B67" s="1">
        <v>1.3127586423790971E-2</v>
      </c>
      <c r="C67" s="1">
        <v>2.7339706509164063E-2</v>
      </c>
      <c r="D67" s="3">
        <f t="shared" ref="D67:D128" si="6">B67*$L$8+$L$9</f>
        <v>6.0093236566290252E-2</v>
      </c>
      <c r="E67" s="4">
        <f t="shared" ref="E67:E128" si="7">B67-$L$2</f>
        <v>3.0821690044618606E-3</v>
      </c>
      <c r="F67">
        <f t="shared" ref="F67:F128" si="8">E67^2</f>
        <v>9.4997657720654164E-6</v>
      </c>
      <c r="G67" s="4">
        <f t="shared" ref="G67:G128" si="9">C67-D67</f>
        <v>-3.2753530057126189E-2</v>
      </c>
      <c r="H67">
        <f t="shared" ref="H67:H128" si="10">G67^2</f>
        <v>1.0727937312030686E-3</v>
      </c>
      <c r="I67">
        <f t="shared" ref="I67:I128" si="11">B67^2</f>
        <v>1.7233352531410102E-4</v>
      </c>
    </row>
    <row r="68" spans="1:9" x14ac:dyDescent="0.2">
      <c r="A68" s="2">
        <v>42582</v>
      </c>
      <c r="B68" s="1">
        <v>-1.8091903240630258E-2</v>
      </c>
      <c r="C68" s="1">
        <v>-7.1716453295399551E-3</v>
      </c>
      <c r="D68" s="3">
        <f t="shared" si="6"/>
        <v>3.6058390613978308E-3</v>
      </c>
      <c r="E68" s="4">
        <f t="shared" si="7"/>
        <v>-2.8137320659959369E-2</v>
      </c>
      <c r="F68">
        <f t="shared" si="8"/>
        <v>7.9170881392137628E-4</v>
      </c>
      <c r="G68" s="4">
        <f t="shared" si="9"/>
        <v>-1.0777484390937786E-2</v>
      </c>
      <c r="H68">
        <f t="shared" si="10"/>
        <v>1.1615416979690763E-4</v>
      </c>
      <c r="I68">
        <f t="shared" si="11"/>
        <v>3.2731696286832763E-4</v>
      </c>
    </row>
    <row r="69" spans="1:9" x14ac:dyDescent="0.2">
      <c r="A69" s="2">
        <v>42613</v>
      </c>
      <c r="B69" s="1">
        <v>1.7180885878367524E-2</v>
      </c>
      <c r="C69" s="1">
        <v>3.9161841084114357E-2</v>
      </c>
      <c r="D69" s="3">
        <f t="shared" si="6"/>
        <v>6.7427127669512227E-2</v>
      </c>
      <c r="E69" s="4">
        <f t="shared" si="7"/>
        <v>7.1354684590384139E-3</v>
      </c>
      <c r="F69">
        <f t="shared" si="8"/>
        <v>5.0914910129932039E-5</v>
      </c>
      <c r="G69" s="4">
        <f t="shared" si="9"/>
        <v>-2.826528658539787E-2</v>
      </c>
      <c r="H69">
        <f t="shared" si="10"/>
        <v>7.9892642575467277E-4</v>
      </c>
      <c r="I69">
        <f t="shared" si="11"/>
        <v>2.9518283956548864E-4</v>
      </c>
    </row>
    <row r="70" spans="1:9" x14ac:dyDescent="0.2">
      <c r="A70" s="2">
        <v>42643</v>
      </c>
      <c r="B70" s="1">
        <v>2.0434172707484377E-2</v>
      </c>
      <c r="C70" s="1">
        <v>0.15482277244786591</v>
      </c>
      <c r="D70" s="3">
        <f t="shared" si="6"/>
        <v>7.3313505322994021E-2</v>
      </c>
      <c r="E70" s="4">
        <f t="shared" si="7"/>
        <v>1.0388755288155267E-2</v>
      </c>
      <c r="F70">
        <f t="shared" si="8"/>
        <v>1.0792623643717402E-4</v>
      </c>
      <c r="G70" s="4">
        <f t="shared" si="9"/>
        <v>8.1509267124871887E-2</v>
      </c>
      <c r="H70">
        <f t="shared" si="10"/>
        <v>6.643760627233721E-3</v>
      </c>
      <c r="I70">
        <f t="shared" si="11"/>
        <v>4.1755541423929939E-4</v>
      </c>
    </row>
    <row r="71" spans="1:9" x14ac:dyDescent="0.2">
      <c r="A71" s="2">
        <v>42674</v>
      </c>
      <c r="B71" s="1">
        <v>3.4045760887282395E-2</v>
      </c>
      <c r="C71" s="1">
        <v>7.8201174012536123E-2</v>
      </c>
      <c r="D71" s="3">
        <f t="shared" si="6"/>
        <v>9.7941812846591703E-2</v>
      </c>
      <c r="E71" s="4">
        <f t="shared" si="7"/>
        <v>2.4000343467953284E-2</v>
      </c>
      <c r="F71">
        <f t="shared" si="8"/>
        <v>5.7601648657972784E-4</v>
      </c>
      <c r="G71" s="4">
        <f t="shared" si="9"/>
        <v>-1.9740638834055579E-2</v>
      </c>
      <c r="H71">
        <f t="shared" si="10"/>
        <v>3.8969282157662322E-4</v>
      </c>
      <c r="I71">
        <f t="shared" si="11"/>
        <v>1.1591138343940077E-3</v>
      </c>
    </row>
    <row r="72" spans="1:9" x14ac:dyDescent="0.2">
      <c r="A72" s="2">
        <v>42704</v>
      </c>
      <c r="B72" s="1">
        <v>2.8590218480137208E-2</v>
      </c>
      <c r="C72" s="1">
        <v>8.5632555135185084E-2</v>
      </c>
      <c r="D72" s="3">
        <f t="shared" si="6"/>
        <v>8.8070754867434292E-2</v>
      </c>
      <c r="E72" s="4">
        <f t="shared" si="7"/>
        <v>1.8544801060808098E-2</v>
      </c>
      <c r="F72">
        <f t="shared" si="8"/>
        <v>3.4390964638494914E-4</v>
      </c>
      <c r="G72" s="4">
        <f t="shared" si="9"/>
        <v>-2.4381997322492077E-3</v>
      </c>
      <c r="H72">
        <f t="shared" si="10"/>
        <v>5.9448179343401086E-6</v>
      </c>
      <c r="I72">
        <f t="shared" si="11"/>
        <v>8.1740059274197912E-4</v>
      </c>
    </row>
    <row r="73" spans="1:9" x14ac:dyDescent="0.2">
      <c r="A73" s="2">
        <v>42735</v>
      </c>
      <c r="B73" s="1">
        <v>-1.6298325630415E-3</v>
      </c>
      <c r="C73" s="1">
        <v>4.8023799405014778E-3</v>
      </c>
      <c r="D73" s="3">
        <f t="shared" si="6"/>
        <v>3.3391704881566391E-2</v>
      </c>
      <c r="E73" s="4">
        <f t="shared" si="7"/>
        <v>-1.1675249982370611E-2</v>
      </c>
      <c r="F73">
        <f t="shared" si="8"/>
        <v>1.3631146215084495E-4</v>
      </c>
      <c r="G73" s="4">
        <f t="shared" si="9"/>
        <v>-2.8589324941064913E-2</v>
      </c>
      <c r="H73">
        <f t="shared" si="10"/>
        <v>8.1734950058579632E-4</v>
      </c>
      <c r="I73">
        <f t="shared" si="11"/>
        <v>2.6563541835504253E-6</v>
      </c>
    </row>
    <row r="74" spans="1:9" x14ac:dyDescent="0.2">
      <c r="A74" s="2">
        <v>42766</v>
      </c>
      <c r="B74" s="1">
        <v>-8.4108280807849045E-2</v>
      </c>
      <c r="C74" s="1">
        <v>0.14228312819862121</v>
      </c>
      <c r="D74" s="3">
        <f t="shared" si="6"/>
        <v>-0.11584176887699681</v>
      </c>
      <c r="E74" s="4">
        <f t="shared" si="7"/>
        <v>-9.4153698227178159E-2</v>
      </c>
      <c r="F74">
        <f t="shared" si="8"/>
        <v>8.8649188898545315E-3</v>
      </c>
      <c r="G74" s="4">
        <f t="shared" si="9"/>
        <v>0.25812489707561803</v>
      </c>
      <c r="H74">
        <f t="shared" si="10"/>
        <v>6.6628462490298399E-2</v>
      </c>
      <c r="I74">
        <f t="shared" si="11"/>
        <v>7.0742029004519881E-3</v>
      </c>
    </row>
    <row r="75" spans="1:9" x14ac:dyDescent="0.2">
      <c r="A75" s="2">
        <v>42794</v>
      </c>
      <c r="B75" s="1">
        <v>-0.1251201547093802</v>
      </c>
      <c r="C75" s="1">
        <v>-2.3956751953197353E-2</v>
      </c>
      <c r="D75" s="3">
        <f t="shared" si="6"/>
        <v>-0.190047146620133</v>
      </c>
      <c r="E75" s="4">
        <f t="shared" si="7"/>
        <v>-0.1351655721287093</v>
      </c>
      <c r="F75">
        <f t="shared" si="8"/>
        <v>1.8269731888881317E-2</v>
      </c>
      <c r="G75" s="4">
        <f t="shared" si="9"/>
        <v>0.16609039466693565</v>
      </c>
      <c r="H75">
        <f t="shared" si="10"/>
        <v>2.7586019200618445E-2</v>
      </c>
      <c r="I75">
        <f t="shared" si="11"/>
        <v>1.5655053114499239E-2</v>
      </c>
    </row>
    <row r="76" spans="1:9" x14ac:dyDescent="0.2">
      <c r="A76" s="2">
        <v>42825</v>
      </c>
      <c r="B76" s="1">
        <v>0.12684397460846775</v>
      </c>
      <c r="C76" s="1">
        <v>0.10880121396054632</v>
      </c>
      <c r="D76" s="3">
        <f t="shared" si="6"/>
        <v>0.26584749108022526</v>
      </c>
      <c r="E76" s="4">
        <f t="shared" si="7"/>
        <v>0.11679855718913863</v>
      </c>
      <c r="F76">
        <f t="shared" si="8"/>
        <v>1.3641902961464487E-2</v>
      </c>
      <c r="G76" s="4">
        <f t="shared" si="9"/>
        <v>-0.15704627711967895</v>
      </c>
      <c r="H76">
        <f t="shared" si="10"/>
        <v>2.4663533157150995E-2</v>
      </c>
      <c r="I76">
        <f t="shared" si="11"/>
        <v>1.608939389447361E-2</v>
      </c>
    </row>
    <row r="77" spans="1:9" x14ac:dyDescent="0.2">
      <c r="A77" s="2">
        <v>42855</v>
      </c>
      <c r="B77" s="1">
        <v>4.5279923106294362E-2</v>
      </c>
      <c r="C77" s="1">
        <v>0.21465717804844675</v>
      </c>
      <c r="D77" s="3">
        <f t="shared" si="6"/>
        <v>0.11826849319021601</v>
      </c>
      <c r="E77" s="4">
        <f t="shared" si="7"/>
        <v>3.5234505686965248E-2</v>
      </c>
      <c r="F77">
        <f t="shared" si="8"/>
        <v>1.2414703910047864E-3</v>
      </c>
      <c r="G77" s="4">
        <f t="shared" si="9"/>
        <v>9.6388684858230739E-2</v>
      </c>
      <c r="H77">
        <f t="shared" si="10"/>
        <v>9.2907785686993198E-3</v>
      </c>
      <c r="I77">
        <f t="shared" si="11"/>
        <v>2.0502714365119301E-3</v>
      </c>
    </row>
    <row r="78" spans="1:9" x14ac:dyDescent="0.2">
      <c r="A78" s="2">
        <v>42886</v>
      </c>
      <c r="B78" s="1">
        <v>1.8388423939773579E-2</v>
      </c>
      <c r="C78" s="1">
        <v>7.0108726268942601E-2</v>
      </c>
      <c r="D78" s="3">
        <f t="shared" si="6"/>
        <v>6.9612002669396239E-2</v>
      </c>
      <c r="E78" s="4">
        <f t="shared" si="7"/>
        <v>8.3430065204444688E-3</v>
      </c>
      <c r="F78">
        <f t="shared" si="8"/>
        <v>6.9605757800178926E-5</v>
      </c>
      <c r="G78" s="4">
        <f t="shared" si="9"/>
        <v>4.9672359954636147E-4</v>
      </c>
      <c r="H78">
        <f t="shared" si="10"/>
        <v>2.4673433434629405E-7</v>
      </c>
      <c r="I78">
        <f t="shared" si="11"/>
        <v>3.3813413498883811E-4</v>
      </c>
    </row>
    <row r="79" spans="1:9" x14ac:dyDescent="0.2">
      <c r="A79" s="2">
        <v>42916</v>
      </c>
      <c r="B79" s="1">
        <v>5.5104528942981901E-2</v>
      </c>
      <c r="C79" s="1">
        <v>0.11760680161090797</v>
      </c>
      <c r="D79" s="3">
        <f t="shared" si="6"/>
        <v>0.13604477400682119</v>
      </c>
      <c r="E79" s="4">
        <f t="shared" si="7"/>
        <v>4.5059111523652787E-2</v>
      </c>
      <c r="F79">
        <f t="shared" si="8"/>
        <v>2.0303235313009795E-3</v>
      </c>
      <c r="G79" s="4">
        <f t="shared" si="9"/>
        <v>-1.8437972395913216E-2</v>
      </c>
      <c r="H79">
        <f t="shared" si="10"/>
        <v>3.3995882607245774E-4</v>
      </c>
      <c r="I79">
        <f t="shared" si="11"/>
        <v>3.0365091100279301E-3</v>
      </c>
    </row>
    <row r="80" spans="1:9" x14ac:dyDescent="0.2">
      <c r="A80" s="2">
        <v>42947</v>
      </c>
      <c r="B80" s="1">
        <v>7.006263851522454E-2</v>
      </c>
      <c r="C80" s="1">
        <v>0.25999199227490033</v>
      </c>
      <c r="D80" s="3">
        <f t="shared" si="6"/>
        <v>0.16310942786283644</v>
      </c>
      <c r="E80" s="4">
        <f t="shared" si="7"/>
        <v>6.0017221095895426E-2</v>
      </c>
      <c r="F80">
        <f t="shared" si="8"/>
        <v>3.6020668280735951E-3</v>
      </c>
      <c r="G80" s="4">
        <f t="shared" si="9"/>
        <v>9.6882564412063887E-2</v>
      </c>
      <c r="H80">
        <f t="shared" si="10"/>
        <v>9.3862312870577076E-3</v>
      </c>
      <c r="I80">
        <f t="shared" si="11"/>
        <v>4.9087733157150253E-3</v>
      </c>
    </row>
    <row r="81" spans="1:9" x14ac:dyDescent="0.2">
      <c r="A81" s="2">
        <v>42978</v>
      </c>
      <c r="B81" s="1">
        <v>-3.9227837158300027E-2</v>
      </c>
      <c r="C81" s="1">
        <v>1.1663987438782719E-2</v>
      </c>
      <c r="D81" s="3">
        <f t="shared" si="6"/>
        <v>-3.4636743174184789E-2</v>
      </c>
      <c r="E81" s="4">
        <f t="shared" si="7"/>
        <v>-4.9273254577629141E-2</v>
      </c>
      <c r="F81">
        <f t="shared" si="8"/>
        <v>2.427853616671851E-3</v>
      </c>
      <c r="G81" s="4">
        <f t="shared" si="9"/>
        <v>4.6300730612967508E-2</v>
      </c>
      <c r="H81">
        <f t="shared" si="10"/>
        <v>2.1437576552945864E-3</v>
      </c>
      <c r="I81">
        <f t="shared" si="11"/>
        <v>1.5388232081181043E-3</v>
      </c>
    </row>
    <row r="82" spans="1:9" x14ac:dyDescent="0.2">
      <c r="A82" s="2">
        <v>43008</v>
      </c>
      <c r="B82" s="1">
        <v>-2.7665753706911711E-2</v>
      </c>
      <c r="C82" s="1">
        <v>-7.3648423931118479E-2</v>
      </c>
      <c r="D82" s="3">
        <f t="shared" si="6"/>
        <v>-1.3716734201468662E-2</v>
      </c>
      <c r="E82" s="4">
        <f t="shared" si="7"/>
        <v>-3.7711171126240825E-2</v>
      </c>
      <c r="F82">
        <f t="shared" si="8"/>
        <v>1.4221324277126197E-3</v>
      </c>
      <c r="G82" s="4">
        <f t="shared" si="9"/>
        <v>-5.9931689729649816E-2</v>
      </c>
      <c r="H82">
        <f t="shared" si="10"/>
        <v>3.5918074338510131E-3</v>
      </c>
      <c r="I82">
        <f t="shared" si="11"/>
        <v>7.6539392817149903E-4</v>
      </c>
    </row>
    <row r="83" spans="1:9" x14ac:dyDescent="0.2">
      <c r="A83" s="2">
        <v>43039</v>
      </c>
      <c r="B83" s="1">
        <v>0.10754701680089429</v>
      </c>
      <c r="C83" s="1">
        <v>6.9211744056167257E-2</v>
      </c>
      <c r="D83" s="3">
        <f t="shared" si="6"/>
        <v>0.23093228464897536</v>
      </c>
      <c r="E83" s="4">
        <f t="shared" si="7"/>
        <v>9.7501599381565177E-2</v>
      </c>
      <c r="F83">
        <f t="shared" si="8"/>
        <v>9.5065618819632301E-3</v>
      </c>
      <c r="G83" s="4">
        <f t="shared" si="9"/>
        <v>-0.1617205405928081</v>
      </c>
      <c r="H83">
        <f t="shared" si="10"/>
        <v>2.6153533249630094E-2</v>
      </c>
      <c r="I83">
        <f t="shared" si="11"/>
        <v>1.1566360822771838E-2</v>
      </c>
    </row>
    <row r="84" spans="1:9" x14ac:dyDescent="0.2">
      <c r="A84" s="2">
        <v>43069</v>
      </c>
      <c r="B84" s="1">
        <v>3.7120829823122481E-2</v>
      </c>
      <c r="C84" s="1">
        <v>-2.5855314703578047E-2</v>
      </c>
      <c r="D84" s="3">
        <f t="shared" si="6"/>
        <v>0.10350572959221689</v>
      </c>
      <c r="E84" s="4">
        <f t="shared" si="7"/>
        <v>2.707541240379337E-2</v>
      </c>
      <c r="F84">
        <f t="shared" si="8"/>
        <v>7.3307795683548785E-4</v>
      </c>
      <c r="G84" s="4">
        <f t="shared" si="9"/>
        <v>-0.12936104429579492</v>
      </c>
      <c r="H84">
        <f t="shared" si="10"/>
        <v>1.6734279781298617E-2</v>
      </c>
      <c r="I84">
        <f t="shared" si="11"/>
        <v>1.3779560067572194E-3</v>
      </c>
    </row>
    <row r="85" spans="1:9" x14ac:dyDescent="0.2">
      <c r="A85" s="2">
        <v>43100</v>
      </c>
      <c r="B85" s="1">
        <v>-1.1136310777434488E-2</v>
      </c>
      <c r="C85" s="1">
        <v>-4.9980850248946274E-3</v>
      </c>
      <c r="D85" s="3">
        <f t="shared" si="6"/>
        <v>1.6191032495816427E-2</v>
      </c>
      <c r="E85" s="4">
        <f t="shared" si="7"/>
        <v>-2.1181728196763599E-2</v>
      </c>
      <c r="F85">
        <f t="shared" si="8"/>
        <v>4.4866560940157011E-4</v>
      </c>
      <c r="G85" s="4">
        <f t="shared" si="9"/>
        <v>-2.1189117520711055E-2</v>
      </c>
      <c r="H85">
        <f t="shared" si="10"/>
        <v>4.4897870130650419E-4</v>
      </c>
      <c r="I85">
        <f t="shared" si="11"/>
        <v>1.2401741773160354E-4</v>
      </c>
    </row>
    <row r="86" spans="1:9" x14ac:dyDescent="0.2">
      <c r="A86" s="2">
        <v>43131</v>
      </c>
      <c r="B86" s="1">
        <v>2.6090664481449366E-2</v>
      </c>
      <c r="C86" s="1">
        <v>5.5793991416308808E-2</v>
      </c>
      <c r="D86" s="3">
        <f t="shared" si="6"/>
        <v>8.3548153703017047E-2</v>
      </c>
      <c r="E86" s="4">
        <f t="shared" si="7"/>
        <v>1.6045247062120255E-2</v>
      </c>
      <c r="F86">
        <f t="shared" si="8"/>
        <v>2.5744995328447868E-4</v>
      </c>
      <c r="G86" s="4">
        <f t="shared" si="9"/>
        <v>-2.7754162286708239E-2</v>
      </c>
      <c r="H86">
        <f t="shared" si="10"/>
        <v>7.7029352423693795E-4</v>
      </c>
      <c r="I86">
        <f t="shared" si="11"/>
        <v>6.8072277308356356E-4</v>
      </c>
    </row>
    <row r="87" spans="1:9" x14ac:dyDescent="0.2">
      <c r="A87" s="2">
        <v>43159</v>
      </c>
      <c r="B87" s="1">
        <v>4.2439281964457898E-2</v>
      </c>
      <c r="C87" s="1">
        <v>-2.6705311896168205E-2</v>
      </c>
      <c r="D87" s="3">
        <f t="shared" si="6"/>
        <v>0.11312874148150907</v>
      </c>
      <c r="E87" s="4">
        <f t="shared" si="7"/>
        <v>3.2393864545128784E-2</v>
      </c>
      <c r="F87">
        <f t="shared" si="8"/>
        <v>1.0493624601681517E-3</v>
      </c>
      <c r="G87" s="4">
        <f t="shared" si="9"/>
        <v>-0.13983405337767729</v>
      </c>
      <c r="H87">
        <f t="shared" si="10"/>
        <v>1.9553562484031103E-2</v>
      </c>
      <c r="I87">
        <f t="shared" si="11"/>
        <v>1.8010926536587615E-3</v>
      </c>
    </row>
    <row r="88" spans="1:9" x14ac:dyDescent="0.2">
      <c r="A88" s="2">
        <v>43190</v>
      </c>
      <c r="B88" s="1">
        <v>5.242595975007136E-2</v>
      </c>
      <c r="C88" s="1">
        <v>0.12445451650965467</v>
      </c>
      <c r="D88" s="3">
        <f t="shared" si="6"/>
        <v>0.13119826932751094</v>
      </c>
      <c r="E88" s="4">
        <f t="shared" si="7"/>
        <v>4.2380542330742246E-2</v>
      </c>
      <c r="F88">
        <f t="shared" si="8"/>
        <v>1.7961103682478355E-3</v>
      </c>
      <c r="G88" s="4">
        <f t="shared" si="9"/>
        <v>-6.7437528178562745E-3</v>
      </c>
      <c r="H88">
        <f t="shared" si="10"/>
        <v>4.5478202068344439E-5</v>
      </c>
      <c r="I88">
        <f t="shared" si="11"/>
        <v>2.7484812557161025E-3</v>
      </c>
    </row>
    <row r="89" spans="1:9" x14ac:dyDescent="0.2">
      <c r="A89" s="2">
        <v>43220</v>
      </c>
      <c r="B89" s="1">
        <v>5.485455831532926E-3</v>
      </c>
      <c r="C89" s="1">
        <v>8.2281221892801293E-2</v>
      </c>
      <c r="D89" s="3">
        <f t="shared" si="6"/>
        <v>4.6265846266533343E-2</v>
      </c>
      <c r="E89" s="4">
        <f t="shared" si="7"/>
        <v>-4.5599615877961845E-3</v>
      </c>
      <c r="F89">
        <f t="shared" si="8"/>
        <v>2.07932496821767E-5</v>
      </c>
      <c r="G89" s="4">
        <f t="shared" si="9"/>
        <v>3.6015375626267949E-2</v>
      </c>
      <c r="H89">
        <f t="shared" si="10"/>
        <v>1.2971072815011755E-3</v>
      </c>
      <c r="I89">
        <f t="shared" si="11"/>
        <v>3.0090225679698584E-5</v>
      </c>
    </row>
    <row r="90" spans="1:9" x14ac:dyDescent="0.2">
      <c r="A90" s="2">
        <v>43251</v>
      </c>
      <c r="B90" s="1">
        <v>2.2213042500697888E-2</v>
      </c>
      <c r="C90" s="1">
        <v>0.23133983809904901</v>
      </c>
      <c r="D90" s="3">
        <f t="shared" si="6"/>
        <v>7.6532126966038103E-2</v>
      </c>
      <c r="E90" s="4">
        <f t="shared" si="7"/>
        <v>1.2167625081368778E-2</v>
      </c>
      <c r="F90">
        <f t="shared" si="8"/>
        <v>1.4805110012075455E-4</v>
      </c>
      <c r="G90" s="4">
        <f t="shared" si="9"/>
        <v>0.15480771113301089</v>
      </c>
      <c r="H90">
        <f t="shared" si="10"/>
        <v>2.3965427426241744E-2</v>
      </c>
      <c r="I90">
        <f t="shared" si="11"/>
        <v>4.9341925713781065E-4</v>
      </c>
    </row>
    <row r="91" spans="1:9" x14ac:dyDescent="0.2">
      <c r="A91" s="2">
        <v>43281</v>
      </c>
      <c r="B91" s="1">
        <v>2.2749835231048232E-2</v>
      </c>
      <c r="C91" s="1">
        <v>-2.5171853518310305E-2</v>
      </c>
      <c r="D91" s="3">
        <f t="shared" si="6"/>
        <v>7.7503380009024014E-2</v>
      </c>
      <c r="E91" s="4">
        <f t="shared" si="7"/>
        <v>1.2704417811719122E-2</v>
      </c>
      <c r="F91">
        <f t="shared" si="8"/>
        <v>1.6140223193472606E-4</v>
      </c>
      <c r="G91" s="4">
        <f t="shared" si="9"/>
        <v>-0.10267523352733432</v>
      </c>
      <c r="H91">
        <f t="shared" si="10"/>
        <v>1.0542203579892637E-2</v>
      </c>
      <c r="I91">
        <f t="shared" si="11"/>
        <v>5.1755500303984339E-4</v>
      </c>
    </row>
    <row r="92" spans="1:9" x14ac:dyDescent="0.2">
      <c r="A92" s="2">
        <v>43312</v>
      </c>
      <c r="B92" s="1">
        <v>2.8989418612476836E-2</v>
      </c>
      <c r="C92" s="1">
        <v>0.14800759013282749</v>
      </c>
      <c r="D92" s="3">
        <f t="shared" si="6"/>
        <v>8.8793052919127702E-2</v>
      </c>
      <c r="E92" s="4">
        <f t="shared" si="7"/>
        <v>1.8944001193147725E-2</v>
      </c>
      <c r="F92">
        <f t="shared" si="8"/>
        <v>3.5887518120598244E-4</v>
      </c>
      <c r="G92" s="4">
        <f t="shared" si="9"/>
        <v>5.9214537213699792E-2</v>
      </c>
      <c r="H92">
        <f t="shared" si="10"/>
        <v>3.5063614174326374E-3</v>
      </c>
      <c r="I92">
        <f t="shared" si="11"/>
        <v>8.403863914894184E-4</v>
      </c>
    </row>
    <row r="93" spans="1:9" x14ac:dyDescent="0.2">
      <c r="A93" s="2">
        <v>43343</v>
      </c>
      <c r="B93" s="1">
        <v>-4.7569441768317455E-2</v>
      </c>
      <c r="C93" s="1">
        <v>-7.4558856377038185E-2</v>
      </c>
      <c r="D93" s="3">
        <f t="shared" si="6"/>
        <v>-4.9729736060986768E-2</v>
      </c>
      <c r="E93" s="4">
        <f t="shared" si="7"/>
        <v>-5.7614859187646569E-2</v>
      </c>
      <c r="F93">
        <f t="shared" si="8"/>
        <v>3.3194719992123423E-3</v>
      </c>
      <c r="G93" s="4">
        <f t="shared" si="9"/>
        <v>-2.4829120316051417E-2</v>
      </c>
      <c r="H93">
        <f t="shared" si="10"/>
        <v>6.1648521566895725E-4</v>
      </c>
      <c r="I93">
        <f t="shared" si="11"/>
        <v>2.2628517901493454E-3</v>
      </c>
    </row>
    <row r="94" spans="1:9" x14ac:dyDescent="0.2">
      <c r="A94" s="2">
        <v>43373</v>
      </c>
      <c r="B94" s="1">
        <v>6.9143405229559418E-2</v>
      </c>
      <c r="C94" s="1">
        <v>0.23416682757289053</v>
      </c>
      <c r="D94" s="3">
        <f t="shared" si="6"/>
        <v>0.16144620093103079</v>
      </c>
      <c r="E94" s="4">
        <f t="shared" si="7"/>
        <v>5.9097987810230304E-2</v>
      </c>
      <c r="F94">
        <f t="shared" si="8"/>
        <v>3.4925721632181298E-3</v>
      </c>
      <c r="G94" s="4">
        <f t="shared" si="9"/>
        <v>7.2720626641859742E-2</v>
      </c>
      <c r="H94">
        <f t="shared" si="10"/>
        <v>5.2882895391847609E-3</v>
      </c>
      <c r="I94">
        <f t="shared" si="11"/>
        <v>4.7808104867390648E-3</v>
      </c>
    </row>
    <row r="95" spans="1:9" x14ac:dyDescent="0.2">
      <c r="A95" s="2">
        <v>43404</v>
      </c>
      <c r="B95" s="1">
        <v>-8.3326852720162492E-3</v>
      </c>
      <c r="C95" s="1">
        <v>0.27805374115070225</v>
      </c>
      <c r="D95" s="3">
        <f t="shared" si="6"/>
        <v>2.1263809472049262E-2</v>
      </c>
      <c r="E95" s="4">
        <f t="shared" si="7"/>
        <v>-1.837810269134536E-2</v>
      </c>
      <c r="F95">
        <f t="shared" si="8"/>
        <v>3.3775465853363556E-4</v>
      </c>
      <c r="G95" s="4">
        <f t="shared" si="9"/>
        <v>0.25678993167865299</v>
      </c>
      <c r="H95">
        <f t="shared" si="10"/>
        <v>6.594106901152727E-2</v>
      </c>
      <c r="I95">
        <f t="shared" si="11"/>
        <v>6.9433643842476509E-5</v>
      </c>
    </row>
    <row r="96" spans="1:9" x14ac:dyDescent="0.2">
      <c r="A96" s="2">
        <v>43434</v>
      </c>
      <c r="B96" s="1">
        <v>4.3613184423158868E-2</v>
      </c>
      <c r="C96" s="1">
        <v>-9.9920430897294632E-2</v>
      </c>
      <c r="D96" s="3">
        <f t="shared" si="6"/>
        <v>0.11525275745772735</v>
      </c>
      <c r="E96" s="4">
        <f t="shared" si="7"/>
        <v>3.3567767003829754E-2</v>
      </c>
      <c r="F96">
        <f t="shared" si="8"/>
        <v>1.1267949816234017E-3</v>
      </c>
      <c r="G96" s="4">
        <f t="shared" si="9"/>
        <v>-0.21517318835502197</v>
      </c>
      <c r="H96">
        <f t="shared" si="10"/>
        <v>4.6299500986865763E-2</v>
      </c>
      <c r="I96">
        <f t="shared" si="11"/>
        <v>1.9021098555284674E-3</v>
      </c>
    </row>
    <row r="97" spans="1:9" x14ac:dyDescent="0.2">
      <c r="A97" s="2">
        <v>43465</v>
      </c>
      <c r="B97" s="1">
        <v>-5.2586187915612426E-2</v>
      </c>
      <c r="C97" s="1">
        <v>-0.16745435381319917</v>
      </c>
      <c r="D97" s="3">
        <f t="shared" si="6"/>
        <v>-5.8806852210208801E-2</v>
      </c>
      <c r="E97" s="4">
        <f t="shared" si="7"/>
        <v>-6.263160533494154E-2</v>
      </c>
      <c r="F97">
        <f t="shared" si="8"/>
        <v>3.9227179868318775E-3</v>
      </c>
      <c r="G97" s="4">
        <f t="shared" si="9"/>
        <v>-0.10864750160299037</v>
      </c>
      <c r="H97">
        <f t="shared" si="10"/>
        <v>1.1804279604571796E-2</v>
      </c>
      <c r="I97">
        <f t="shared" si="11"/>
        <v>2.7653071594961024E-3</v>
      </c>
    </row>
    <row r="98" spans="1:9" x14ac:dyDescent="0.2">
      <c r="A98" s="2">
        <v>43496</v>
      </c>
      <c r="B98" s="1">
        <v>-3.1360190036336055E-2</v>
      </c>
      <c r="C98" s="1">
        <v>-4.1248060115984808E-3</v>
      </c>
      <c r="D98" s="3">
        <f t="shared" si="6"/>
        <v>-2.0401311551704389E-2</v>
      </c>
      <c r="E98" s="4">
        <f t="shared" si="7"/>
        <v>-4.1405607455665169E-2</v>
      </c>
      <c r="F98">
        <f t="shared" si="8"/>
        <v>1.714424328772635E-3</v>
      </c>
      <c r="G98" s="4">
        <f t="shared" si="9"/>
        <v>1.6276505540105908E-2</v>
      </c>
      <c r="H98">
        <f t="shared" si="10"/>
        <v>2.6492463259709833E-4</v>
      </c>
      <c r="I98">
        <f t="shared" si="11"/>
        <v>9.8346151911511128E-4</v>
      </c>
    </row>
    <row r="99" spans="1:9" x14ac:dyDescent="0.2">
      <c r="A99" s="2">
        <v>43524</v>
      </c>
      <c r="B99" s="1">
        <v>3.5774229488720222E-2</v>
      </c>
      <c r="C99" s="1">
        <v>0.11896657781423015</v>
      </c>
      <c r="D99" s="3">
        <f t="shared" si="6"/>
        <v>0.10106924042512173</v>
      </c>
      <c r="E99" s="4">
        <f t="shared" si="7"/>
        <v>2.5728812069391111E-2</v>
      </c>
      <c r="F99">
        <f t="shared" si="8"/>
        <v>6.6197177050204576E-4</v>
      </c>
      <c r="G99" s="4">
        <f t="shared" si="9"/>
        <v>1.7897337389108411E-2</v>
      </c>
      <c r="H99">
        <f t="shared" si="10"/>
        <v>3.2031468561957791E-4</v>
      </c>
      <c r="I99">
        <f t="shared" si="11"/>
        <v>1.2797954955116194E-3</v>
      </c>
    </row>
    <row r="100" spans="1:9" x14ac:dyDescent="0.2">
      <c r="A100" s="2">
        <v>43555</v>
      </c>
      <c r="B100" s="1">
        <v>-8.7958206365867153E-2</v>
      </c>
      <c r="C100" s="1">
        <v>-0.3202741332551492</v>
      </c>
      <c r="D100" s="3">
        <f t="shared" si="6"/>
        <v>-0.12280768272432828</v>
      </c>
      <c r="E100" s="4">
        <f t="shared" si="7"/>
        <v>-9.8003623785196267E-2</v>
      </c>
      <c r="F100">
        <f t="shared" si="8"/>
        <v>9.6047102750302874E-3</v>
      </c>
      <c r="G100" s="4">
        <f t="shared" si="9"/>
        <v>-0.1974664505308209</v>
      </c>
      <c r="H100">
        <f t="shared" si="10"/>
        <v>3.8992999085241141E-2</v>
      </c>
      <c r="I100">
        <f t="shared" si="11"/>
        <v>7.7366460671004725E-3</v>
      </c>
    </row>
    <row r="101" spans="1:9" x14ac:dyDescent="0.2">
      <c r="A101" s="2">
        <v>43585</v>
      </c>
      <c r="B101" s="1">
        <v>5.3575877765332791E-5</v>
      </c>
      <c r="C101" s="1">
        <v>6.7396344422279153E-3</v>
      </c>
      <c r="D101" s="3">
        <f t="shared" si="6"/>
        <v>3.6437602261090697E-2</v>
      </c>
      <c r="E101" s="4">
        <f t="shared" si="7"/>
        <v>-9.9918415415637778E-3</v>
      </c>
      <c r="F101">
        <f t="shared" si="8"/>
        <v>9.9836897391719607E-5</v>
      </c>
      <c r="G101" s="4">
        <f t="shared" si="9"/>
        <v>-2.9697967818862782E-2</v>
      </c>
      <c r="H101">
        <f t="shared" si="10"/>
        <v>8.819692925702094E-4</v>
      </c>
      <c r="I101">
        <f t="shared" si="11"/>
        <v>2.8703746783258804E-9</v>
      </c>
    </row>
    <row r="102" spans="1:9" x14ac:dyDescent="0.2">
      <c r="A102" s="2">
        <v>43616</v>
      </c>
      <c r="B102" s="1">
        <v>-8.3918328754959526E-2</v>
      </c>
      <c r="C102" s="1">
        <v>-0.18814267352185088</v>
      </c>
      <c r="D102" s="3">
        <f t="shared" si="6"/>
        <v>-0.11549807661188367</v>
      </c>
      <c r="E102" s="4">
        <f t="shared" si="7"/>
        <v>-9.396374617428864E-2</v>
      </c>
      <c r="F102">
        <f t="shared" si="8"/>
        <v>8.829185595106143E-3</v>
      </c>
      <c r="G102" s="4">
        <f t="shared" si="9"/>
        <v>-7.2644596909967205E-2</v>
      </c>
      <c r="H102">
        <f t="shared" si="10"/>
        <v>5.2772374602116168E-3</v>
      </c>
      <c r="I102">
        <f t="shared" si="11"/>
        <v>7.0422859010254666E-3</v>
      </c>
    </row>
    <row r="103" spans="1:9" x14ac:dyDescent="0.2">
      <c r="A103" s="2">
        <v>43646</v>
      </c>
      <c r="B103" s="1">
        <v>9.1113834372415381E-2</v>
      </c>
      <c r="C103" s="1">
        <v>0.19816610594366368</v>
      </c>
      <c r="D103" s="3">
        <f t="shared" si="6"/>
        <v>0.20119868816530873</v>
      </c>
      <c r="E103" s="4">
        <f t="shared" si="7"/>
        <v>8.1068416953086267E-2</v>
      </c>
      <c r="F103">
        <f t="shared" si="8"/>
        <v>6.5720882272794446E-3</v>
      </c>
      <c r="G103" s="4">
        <f t="shared" si="9"/>
        <v>-3.0325822216450415E-3</v>
      </c>
      <c r="H103">
        <f t="shared" si="10"/>
        <v>9.1965549310375755E-6</v>
      </c>
      <c r="I103">
        <f t="shared" si="11"/>
        <v>8.3017308140439419E-3</v>
      </c>
    </row>
    <row r="104" spans="1:9" x14ac:dyDescent="0.2">
      <c r="A104" s="2">
        <v>43677</v>
      </c>
      <c r="B104" s="1">
        <v>-4.243938128990743E-2</v>
      </c>
      <c r="C104" s="1">
        <v>-0.16896988382976386</v>
      </c>
      <c r="D104" s="3">
        <f t="shared" si="6"/>
        <v>-4.0447593124539827E-2</v>
      </c>
      <c r="E104" s="4">
        <f t="shared" si="7"/>
        <v>-5.2484798709236544E-2</v>
      </c>
      <c r="F104">
        <f t="shared" si="8"/>
        <v>2.7546540955490778E-3</v>
      </c>
      <c r="G104" s="4">
        <f t="shared" si="9"/>
        <v>-0.12852229070522403</v>
      </c>
      <c r="H104">
        <f t="shared" si="10"/>
        <v>1.6517979208118115E-2</v>
      </c>
      <c r="I104">
        <f t="shared" si="11"/>
        <v>1.8011010842701447E-3</v>
      </c>
    </row>
    <row r="105" spans="1:9" x14ac:dyDescent="0.2">
      <c r="A105" s="2">
        <v>43708</v>
      </c>
      <c r="B105" s="1">
        <v>-9.3394435089137362E-2</v>
      </c>
      <c r="C105" s="1">
        <v>-0.19577315489598512</v>
      </c>
      <c r="D105" s="3">
        <f t="shared" si="6"/>
        <v>-0.13264379523352265</v>
      </c>
      <c r="E105" s="4">
        <f t="shared" si="7"/>
        <v>-0.10343985250846648</v>
      </c>
      <c r="F105">
        <f t="shared" si="8"/>
        <v>1.0699803086973299E-2</v>
      </c>
      <c r="G105" s="4">
        <f t="shared" si="9"/>
        <v>-6.312935966246247E-2</v>
      </c>
      <c r="H105">
        <f t="shared" si="10"/>
        <v>3.9853160513925439E-3</v>
      </c>
      <c r="I105">
        <f t="shared" si="11"/>
        <v>8.7225205056190927E-3</v>
      </c>
    </row>
    <row r="106" spans="1:9" x14ac:dyDescent="0.2">
      <c r="A106" s="2">
        <v>43738</v>
      </c>
      <c r="B106" s="1">
        <v>7.9861443809644106E-2</v>
      </c>
      <c r="C106" s="1">
        <v>0.11187082955762429</v>
      </c>
      <c r="D106" s="3">
        <f t="shared" si="6"/>
        <v>0.18083902612624819</v>
      </c>
      <c r="E106" s="4">
        <f t="shared" si="7"/>
        <v>6.9816026390314992E-2</v>
      </c>
      <c r="F106">
        <f t="shared" si="8"/>
        <v>4.8742775409331592E-3</v>
      </c>
      <c r="G106" s="4">
        <f t="shared" si="9"/>
        <v>-6.8968196568623907E-2</v>
      </c>
      <c r="H106">
        <f t="shared" si="10"/>
        <v>4.7566121379283462E-3</v>
      </c>
      <c r="I106">
        <f t="shared" si="11"/>
        <v>6.3778502073609427E-3</v>
      </c>
    </row>
    <row r="107" spans="1:9" x14ac:dyDescent="0.2">
      <c r="A107" s="2">
        <v>43769</v>
      </c>
      <c r="B107" s="1">
        <v>5.3752726026202291E-2</v>
      </c>
      <c r="C107" s="1">
        <v>0.25383418537452762</v>
      </c>
      <c r="D107" s="3">
        <f t="shared" si="6"/>
        <v>0.13359887147833033</v>
      </c>
      <c r="E107" s="4">
        <f t="shared" si="7"/>
        <v>4.3707308606873177E-2</v>
      </c>
      <c r="F107">
        <f t="shared" si="8"/>
        <v>1.9103288256564501E-3</v>
      </c>
      <c r="G107" s="4">
        <f t="shared" si="9"/>
        <v>0.12023531389619729</v>
      </c>
      <c r="H107">
        <f t="shared" si="10"/>
        <v>1.4456530707717094E-2</v>
      </c>
      <c r="I107">
        <f t="shared" si="11"/>
        <v>2.8893555552479649E-3</v>
      </c>
    </row>
    <row r="108" spans="1:9" x14ac:dyDescent="0.2">
      <c r="A108" s="2">
        <v>43799</v>
      </c>
      <c r="B108" s="1">
        <v>-5.897149067685914E-2</v>
      </c>
      <c r="C108" s="1">
        <v>-0.13644152927967845</v>
      </c>
      <c r="D108" s="3">
        <f t="shared" si="6"/>
        <v>-7.0360184412005936E-2</v>
      </c>
      <c r="E108" s="4">
        <f t="shared" si="7"/>
        <v>-6.9016908096188254E-2</v>
      </c>
      <c r="F108">
        <f t="shared" si="8"/>
        <v>4.7633336031576955E-3</v>
      </c>
      <c r="G108" s="4">
        <f t="shared" si="9"/>
        <v>-6.6081344867672517E-2</v>
      </c>
      <c r="H108">
        <f t="shared" si="10"/>
        <v>4.3667441395202691E-3</v>
      </c>
      <c r="I108">
        <f t="shared" si="11"/>
        <v>3.4776367126508846E-3</v>
      </c>
    </row>
    <row r="109" spans="1:9" x14ac:dyDescent="0.2">
      <c r="A109" s="2">
        <v>43830</v>
      </c>
      <c r="B109" s="1">
        <v>6.1754771067835224E-2</v>
      </c>
      <c r="C109" s="1">
        <v>0.33686875598740929</v>
      </c>
      <c r="D109" s="3">
        <f t="shared" si="6"/>
        <v>0.14807747775849334</v>
      </c>
      <c r="E109" s="4">
        <f t="shared" si="7"/>
        <v>5.1709353648506109E-2</v>
      </c>
      <c r="F109">
        <f t="shared" si="8"/>
        <v>2.6738572547462722E-3</v>
      </c>
      <c r="G109" s="4">
        <f t="shared" si="9"/>
        <v>0.18879127822891595</v>
      </c>
      <c r="H109">
        <f t="shared" si="10"/>
        <v>3.5642146735307953E-2</v>
      </c>
      <c r="I109">
        <f t="shared" si="11"/>
        <v>3.8136517496407383E-3</v>
      </c>
    </row>
    <row r="110" spans="1:9" x14ac:dyDescent="0.2">
      <c r="A110" s="2">
        <v>43861</v>
      </c>
      <c r="B110" s="1">
        <v>-2.6112514640123874E-2</v>
      </c>
      <c r="C110" s="1">
        <v>0.18830936172390866</v>
      </c>
      <c r="D110" s="3">
        <f t="shared" si="6"/>
        <v>-1.0906360504496851E-2</v>
      </c>
      <c r="E110" s="4">
        <f t="shared" si="7"/>
        <v>-3.6157932059452988E-2</v>
      </c>
      <c r="F110">
        <f t="shared" si="8"/>
        <v>1.3073960508160182E-3</v>
      </c>
      <c r="G110" s="4">
        <f t="shared" si="9"/>
        <v>0.1992157222284055</v>
      </c>
      <c r="H110">
        <f t="shared" si="10"/>
        <v>3.9686903982985217E-2</v>
      </c>
      <c r="I110">
        <f t="shared" si="11"/>
        <v>6.8186342083068367E-4</v>
      </c>
    </row>
    <row r="111" spans="1:9" x14ac:dyDescent="0.2">
      <c r="A111" s="2">
        <v>43890</v>
      </c>
      <c r="B111" s="1">
        <v>3.5051290624090514E-2</v>
      </c>
      <c r="C111" s="1">
        <v>0.19645933838731899</v>
      </c>
      <c r="D111" s="3">
        <f t="shared" si="6"/>
        <v>9.9761181406315513E-2</v>
      </c>
      <c r="E111" s="4">
        <f t="shared" si="7"/>
        <v>2.5005873204761404E-2</v>
      </c>
      <c r="F111">
        <f t="shared" si="8"/>
        <v>6.2529369473260431E-4</v>
      </c>
      <c r="G111" s="4">
        <f t="shared" si="9"/>
        <v>9.669815698100348E-2</v>
      </c>
      <c r="H111">
        <f t="shared" si="10"/>
        <v>9.3505335635227921E-3</v>
      </c>
      <c r="I111">
        <f t="shared" si="11"/>
        <v>1.2285929744144555E-3</v>
      </c>
    </row>
    <row r="112" spans="1:9" x14ac:dyDescent="0.2">
      <c r="A112" s="2">
        <v>43921</v>
      </c>
      <c r="B112" s="1">
        <v>1.4642098118692548E-2</v>
      </c>
      <c r="C112" s="1">
        <v>-1.0080282247904027E-3</v>
      </c>
      <c r="D112" s="3">
        <f t="shared" si="6"/>
        <v>6.2833538379526183E-2</v>
      </c>
      <c r="E112" s="4">
        <f t="shared" si="7"/>
        <v>4.5966806993634375E-3</v>
      </c>
      <c r="F112">
        <f t="shared" si="8"/>
        <v>2.1129473451900342E-5</v>
      </c>
      <c r="G112" s="4">
        <f t="shared" si="9"/>
        <v>-6.3841566604316585E-2</v>
      </c>
      <c r="H112">
        <f t="shared" si="10"/>
        <v>4.0757456264933906E-3</v>
      </c>
      <c r="I112">
        <f t="shared" si="11"/>
        <v>2.1439103731741985E-4</v>
      </c>
    </row>
    <row r="113" spans="1:9" x14ac:dyDescent="0.2">
      <c r="A113" s="2">
        <v>43951</v>
      </c>
      <c r="B113" s="1">
        <v>2.4808987107580727E-3</v>
      </c>
      <c r="C113" s="1">
        <v>0.36343652023496364</v>
      </c>
      <c r="D113" s="3">
        <f t="shared" si="6"/>
        <v>4.0829511008280153E-2</v>
      </c>
      <c r="E113" s="4">
        <f t="shared" si="7"/>
        <v>-7.5645187085710379E-3</v>
      </c>
      <c r="F113">
        <f t="shared" si="8"/>
        <v>5.7221943292321241E-5</v>
      </c>
      <c r="G113" s="4">
        <f t="shared" si="9"/>
        <v>0.32260700922668351</v>
      </c>
      <c r="H113">
        <f t="shared" si="10"/>
        <v>0.10407528240218546</v>
      </c>
      <c r="I113">
        <f t="shared" si="11"/>
        <v>6.1548584130410675E-6</v>
      </c>
    </row>
    <row r="114" spans="1:9" x14ac:dyDescent="0.2">
      <c r="A114" s="2">
        <v>43982</v>
      </c>
      <c r="B114" s="1">
        <v>6.4728982734588048E-2</v>
      </c>
      <c r="C114" s="1">
        <v>0.11809483533329801</v>
      </c>
      <c r="D114" s="3">
        <f t="shared" si="6"/>
        <v>0.15345890706721838</v>
      </c>
      <c r="E114" s="4">
        <f t="shared" si="7"/>
        <v>5.4683565315258933E-2</v>
      </c>
      <c r="F114">
        <f t="shared" si="8"/>
        <v>2.99029231558819E-3</v>
      </c>
      <c r="G114" s="4">
        <f t="shared" si="9"/>
        <v>-3.5364071733920366E-2</v>
      </c>
      <c r="H114">
        <f t="shared" si="10"/>
        <v>1.2506175696018653E-3</v>
      </c>
      <c r="I114">
        <f t="shared" si="11"/>
        <v>4.1898412058545978E-3</v>
      </c>
    </row>
    <row r="115" spans="1:9" x14ac:dyDescent="0.2">
      <c r="A115" s="2">
        <v>44012</v>
      </c>
      <c r="B115" s="1">
        <v>3.1138865858735043E-2</v>
      </c>
      <c r="C115" s="1">
        <v>0.10465226230438285</v>
      </c>
      <c r="D115" s="3">
        <f t="shared" si="6"/>
        <v>9.2682183789628586E-2</v>
      </c>
      <c r="E115" s="4">
        <f t="shared" si="7"/>
        <v>2.1093448439405933E-2</v>
      </c>
      <c r="F115">
        <f t="shared" si="8"/>
        <v>4.4493356706587657E-4</v>
      </c>
      <c r="G115" s="4">
        <f t="shared" si="9"/>
        <v>1.1970078514754262E-2</v>
      </c>
      <c r="H115">
        <f t="shared" si="10"/>
        <v>1.432827796493816E-4</v>
      </c>
      <c r="I115">
        <f t="shared" si="11"/>
        <v>9.6962896696829487E-4</v>
      </c>
    </row>
    <row r="116" spans="1:9" x14ac:dyDescent="0.2">
      <c r="A116" s="2">
        <v>44043</v>
      </c>
      <c r="B116" s="1">
        <v>-1.7716285687521816E-2</v>
      </c>
      <c r="C116" s="1">
        <v>5.6196366282180277E-2</v>
      </c>
      <c r="D116" s="3">
        <f t="shared" si="6"/>
        <v>4.2854676607221864E-3</v>
      </c>
      <c r="E116" s="4">
        <f t="shared" si="7"/>
        <v>-2.7761703106850926E-2</v>
      </c>
      <c r="F116">
        <f t="shared" si="8"/>
        <v>7.7071215939293635E-4</v>
      </c>
      <c r="G116" s="4">
        <f t="shared" si="9"/>
        <v>5.191089862145809E-2</v>
      </c>
      <c r="H116">
        <f t="shared" si="10"/>
        <v>2.6947413956872994E-3</v>
      </c>
      <c r="I116">
        <f t="shared" si="11"/>
        <v>3.1386677856189035E-4</v>
      </c>
    </row>
    <row r="117" spans="1:9" x14ac:dyDescent="0.2">
      <c r="A117" s="2">
        <v>44074</v>
      </c>
      <c r="B117" s="1">
        <v>-4.8718754745776027E-2</v>
      </c>
      <c r="C117" s="1">
        <v>-0.11865059264512201</v>
      </c>
      <c r="D117" s="3">
        <f t="shared" si="6"/>
        <v>-5.1809260733333376E-2</v>
      </c>
      <c r="E117" s="4">
        <f t="shared" si="7"/>
        <v>-5.8764172165105141E-2</v>
      </c>
      <c r="F117">
        <f t="shared" si="8"/>
        <v>3.4532279302501179E-3</v>
      </c>
      <c r="G117" s="4">
        <f t="shared" si="9"/>
        <v>-6.6841331911788635E-2</v>
      </c>
      <c r="H117">
        <f t="shared" si="10"/>
        <v>4.4677636517418936E-3</v>
      </c>
      <c r="I117">
        <f t="shared" si="11"/>
        <v>2.3735170639790741E-3</v>
      </c>
    </row>
    <row r="118" spans="1:9" x14ac:dyDescent="0.2">
      <c r="A118" s="2">
        <v>44104</v>
      </c>
      <c r="B118" s="1">
        <v>-2.1980405260002001E-2</v>
      </c>
      <c r="C118" s="1">
        <v>-6.2507184073197108E-2</v>
      </c>
      <c r="D118" s="3">
        <f t="shared" si="6"/>
        <v>-3.4298736176966785E-3</v>
      </c>
      <c r="E118" s="4">
        <f t="shared" si="7"/>
        <v>-3.2025822679331115E-2</v>
      </c>
      <c r="F118">
        <f t="shared" si="8"/>
        <v>1.0256533182879592E-3</v>
      </c>
      <c r="G118" s="4">
        <f t="shared" si="9"/>
        <v>-5.907731045550043E-2</v>
      </c>
      <c r="H118">
        <f t="shared" si="10"/>
        <v>3.4901286106555802E-3</v>
      </c>
      <c r="I118">
        <f t="shared" si="11"/>
        <v>4.831382153939236E-4</v>
      </c>
    </row>
    <row r="119" spans="1:9" x14ac:dyDescent="0.2">
      <c r="A119" s="2">
        <v>44135</v>
      </c>
      <c r="B119" s="1">
        <v>8.9178692794205094E-2</v>
      </c>
      <c r="C119" s="1">
        <v>0.14688572829818547</v>
      </c>
      <c r="D119" s="3">
        <f t="shared" si="6"/>
        <v>0.19769731409636671</v>
      </c>
      <c r="E119" s="4">
        <f t="shared" si="7"/>
        <v>7.913327537487598E-2</v>
      </c>
      <c r="F119">
        <f t="shared" si="8"/>
        <v>6.2620752715559528E-3</v>
      </c>
      <c r="G119" s="4">
        <f t="shared" si="9"/>
        <v>-5.0811585798181236E-2</v>
      </c>
      <c r="H119">
        <f t="shared" si="10"/>
        <v>2.5818172513259329E-3</v>
      </c>
      <c r="I119">
        <f t="shared" si="11"/>
        <v>7.9528392484832077E-3</v>
      </c>
    </row>
    <row r="120" spans="1:9" x14ac:dyDescent="0.2">
      <c r="A120" s="2">
        <v>44165</v>
      </c>
      <c r="B120" s="1">
        <v>4.4229350796097355E-2</v>
      </c>
      <c r="C120" s="1">
        <v>5.8841137481291383E-2</v>
      </c>
      <c r="D120" s="3">
        <f t="shared" si="6"/>
        <v>0.11636762625319616</v>
      </c>
      <c r="E120" s="4">
        <f t="shared" si="7"/>
        <v>3.4183933376768241E-2</v>
      </c>
      <c r="F120">
        <f t="shared" si="8"/>
        <v>1.1685413011073298E-3</v>
      </c>
      <c r="G120" s="4">
        <f t="shared" si="9"/>
        <v>-5.7526488771904777E-2</v>
      </c>
      <c r="H120">
        <f t="shared" si="10"/>
        <v>3.3092969104240861E-3</v>
      </c>
      <c r="I120">
        <f t="shared" si="11"/>
        <v>1.9562354718442379E-3</v>
      </c>
    </row>
    <row r="121" spans="1:9" x14ac:dyDescent="0.2">
      <c r="A121" s="2">
        <v>44196</v>
      </c>
      <c r="B121" s="1">
        <v>1.5895278093018383E-2</v>
      </c>
      <c r="C121" s="1">
        <v>0.24241751140907075</v>
      </c>
      <c r="D121" s="3">
        <f t="shared" si="6"/>
        <v>6.510099617963197E-2</v>
      </c>
      <c r="E121" s="4">
        <f t="shared" si="7"/>
        <v>5.8498606736892729E-3</v>
      </c>
      <c r="F121">
        <f t="shared" si="8"/>
        <v>3.4220869901576311E-5</v>
      </c>
      <c r="G121" s="4">
        <f t="shared" si="9"/>
        <v>0.17731651522943878</v>
      </c>
      <c r="H121">
        <f t="shared" si="10"/>
        <v>3.1441146573111797E-2</v>
      </c>
      <c r="I121">
        <f t="shared" si="11"/>
        <v>2.5265986565439015E-4</v>
      </c>
    </row>
    <row r="122" spans="1:9" x14ac:dyDescent="0.2">
      <c r="A122" s="2">
        <v>44227</v>
      </c>
      <c r="B122" s="1">
        <v>5.1721125175185456E-2</v>
      </c>
      <c r="C122" s="1">
        <v>0.2858094820160253</v>
      </c>
      <c r="D122" s="3">
        <f t="shared" si="6"/>
        <v>0.12992296754536342</v>
      </c>
      <c r="E122" s="4">
        <f t="shared" si="7"/>
        <v>4.1675707755856342E-2</v>
      </c>
      <c r="F122">
        <f t="shared" si="8"/>
        <v>1.7368646169515444E-3</v>
      </c>
      <c r="G122" s="4">
        <f t="shared" si="9"/>
        <v>0.15588651447066187</v>
      </c>
      <c r="H122">
        <f t="shared" si="10"/>
        <v>2.4300605393811875E-2</v>
      </c>
      <c r="I122">
        <f t="shared" si="11"/>
        <v>2.6750747893872027E-3</v>
      </c>
    </row>
    <row r="123" spans="1:9" x14ac:dyDescent="0.2">
      <c r="A123" s="2">
        <v>44255</v>
      </c>
      <c r="B123" s="1">
        <v>3.101972951085985E-2</v>
      </c>
      <c r="C123" s="1">
        <v>0.14212761654363426</v>
      </c>
      <c r="D123" s="3">
        <f t="shared" si="6"/>
        <v>9.2466622859195546E-2</v>
      </c>
      <c r="E123" s="4">
        <f t="shared" si="7"/>
        <v>2.097431209153074E-2</v>
      </c>
      <c r="F123">
        <f t="shared" si="8"/>
        <v>4.3992176771293258E-4</v>
      </c>
      <c r="G123" s="4">
        <f t="shared" si="9"/>
        <v>4.9660993684438715E-2</v>
      </c>
      <c r="H123">
        <f t="shared" si="10"/>
        <v>2.4662142937258618E-3</v>
      </c>
      <c r="I123">
        <f t="shared" si="11"/>
        <v>9.6222361892690951E-4</v>
      </c>
    </row>
    <row r="124" spans="1:9" x14ac:dyDescent="0.2">
      <c r="A124" s="2">
        <v>44286</v>
      </c>
      <c r="B124" s="1">
        <v>-4.161552611494046E-2</v>
      </c>
      <c r="C124" s="1">
        <v>-4.3760237283633541E-2</v>
      </c>
      <c r="D124" s="3">
        <f t="shared" si="6"/>
        <v>-3.895693984176507E-2</v>
      </c>
      <c r="E124" s="4">
        <f t="shared" si="7"/>
        <v>-5.1660943534269574E-2</v>
      </c>
      <c r="F124">
        <f t="shared" si="8"/>
        <v>2.6688530868509892E-3</v>
      </c>
      <c r="G124" s="4">
        <f t="shared" si="9"/>
        <v>-4.8032974418684704E-3</v>
      </c>
      <c r="H124">
        <f t="shared" si="10"/>
        <v>2.3071666315060191E-5</v>
      </c>
      <c r="I124">
        <f t="shared" si="11"/>
        <v>1.7318520138232913E-3</v>
      </c>
    </row>
    <row r="125" spans="1:9" x14ac:dyDescent="0.2">
      <c r="A125" s="2">
        <v>44316</v>
      </c>
      <c r="B125" s="1">
        <v>4.802034799716659E-2</v>
      </c>
      <c r="C125" s="1">
        <v>0.2688710909469687</v>
      </c>
      <c r="D125" s="3">
        <f t="shared" si="6"/>
        <v>0.1232269172966618</v>
      </c>
      <c r="E125" s="4">
        <f t="shared" si="7"/>
        <v>3.7974930577837476E-2</v>
      </c>
      <c r="F125">
        <f t="shared" si="8"/>
        <v>1.4420953523915758E-3</v>
      </c>
      <c r="G125" s="4">
        <f t="shared" si="9"/>
        <v>0.14564417365030691</v>
      </c>
      <c r="H125">
        <f t="shared" si="10"/>
        <v>2.1212225318280754E-2</v>
      </c>
      <c r="I125">
        <f t="shared" si="11"/>
        <v>2.3059538217689813E-3</v>
      </c>
    </row>
    <row r="126" spans="1:9" x14ac:dyDescent="0.2">
      <c r="A126" s="2">
        <v>44347</v>
      </c>
      <c r="B126" s="1">
        <v>3.4670776166343176E-2</v>
      </c>
      <c r="C126" s="1">
        <v>0.12685049209635801</v>
      </c>
      <c r="D126" s="3">
        <f t="shared" si="6"/>
        <v>9.9072692527663916E-2</v>
      </c>
      <c r="E126" s="4">
        <f t="shared" si="7"/>
        <v>2.4625358747014065E-2</v>
      </c>
      <c r="F126">
        <f t="shared" si="8"/>
        <v>6.0640829341914208E-4</v>
      </c>
      <c r="G126" s="4">
        <f t="shared" si="9"/>
        <v>2.7777799568694098E-2</v>
      </c>
      <c r="H126">
        <f t="shared" si="10"/>
        <v>7.7160614887854197E-4</v>
      </c>
      <c r="I126">
        <f t="shared" si="11"/>
        <v>1.2020627199766699E-3</v>
      </c>
    </row>
    <row r="127" spans="1:9" x14ac:dyDescent="0.2">
      <c r="A127" s="2">
        <v>44377</v>
      </c>
      <c r="B127" s="1">
        <v>1.1321199980694585E-2</v>
      </c>
      <c r="C127" s="1">
        <v>-5.2776428687065002E-2</v>
      </c>
      <c r="D127" s="3">
        <f t="shared" si="6"/>
        <v>5.6824827307989011E-2</v>
      </c>
      <c r="E127" s="4">
        <f t="shared" si="7"/>
        <v>1.2757825613654745E-3</v>
      </c>
      <c r="F127">
        <f t="shared" si="8"/>
        <v>1.6276211438842508E-6</v>
      </c>
      <c r="G127" s="4">
        <f t="shared" si="9"/>
        <v>-0.10960125599505402</v>
      </c>
      <c r="H127">
        <f t="shared" si="10"/>
        <v>1.2012435315693364E-2</v>
      </c>
      <c r="I127">
        <f t="shared" si="11"/>
        <v>1.2816956900287907E-4</v>
      </c>
    </row>
    <row r="128" spans="1:9" x14ac:dyDescent="0.2">
      <c r="A128" s="2">
        <v>44408</v>
      </c>
      <c r="B128" s="1">
        <v>2.2833847758855885E-2</v>
      </c>
      <c r="C128" s="1">
        <v>2.008203725858837E-2</v>
      </c>
      <c r="D128" s="3">
        <f t="shared" si="6"/>
        <v>7.7655389189977095E-2</v>
      </c>
      <c r="E128" s="4">
        <f t="shared" si="7"/>
        <v>1.2788430339526775E-2</v>
      </c>
      <c r="F128">
        <f t="shared" si="8"/>
        <v>1.6354395054892889E-4</v>
      </c>
      <c r="G128" s="4">
        <f t="shared" si="9"/>
        <v>-5.7573351931388725E-2</v>
      </c>
      <c r="H128">
        <f t="shared" si="10"/>
        <v>3.3146908526155419E-3</v>
      </c>
      <c r="I128">
        <f t="shared" si="11"/>
        <v>5.2138460347460791E-4</v>
      </c>
    </row>
    <row r="144" spans="16:17" ht="17" thickBot="1" x14ac:dyDescent="0.25">
      <c r="P144" s="13"/>
      <c r="Q144" s="13"/>
    </row>
    <row r="173" spans="18:24" ht="17" thickBot="1" x14ac:dyDescent="0.25">
      <c r="R173" s="13"/>
      <c r="S173" s="13"/>
      <c r="T173" s="13"/>
      <c r="U173" s="13"/>
      <c r="W173" s="13"/>
      <c r="X17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Nath Manne</dc:creator>
  <cp:lastModifiedBy>Deepika Nath Manne</cp:lastModifiedBy>
  <dcterms:created xsi:type="dcterms:W3CDTF">2026-01-30T22:29:20Z</dcterms:created>
  <dcterms:modified xsi:type="dcterms:W3CDTF">2026-01-30T22:36:14Z</dcterms:modified>
</cp:coreProperties>
</file>